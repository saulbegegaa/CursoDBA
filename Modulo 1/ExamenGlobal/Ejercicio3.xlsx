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ñana\Desktop\SAUL BEGEGA ALVAREZ\"/>
    </mc:Choice>
  </mc:AlternateContent>
  <xr:revisionPtr revIDLastSave="0" documentId="8_{1ECE68F0-B009-4D94-AE61-C9E7A921CA6D}" xr6:coauthVersionLast="47" xr6:coauthVersionMax="47" xr10:uidLastSave="{00000000-0000-0000-0000-000000000000}"/>
  <bookViews>
    <workbookView xWindow="-120" yWindow="-120" windowWidth="20730" windowHeight="11160" xr2:uid="{F0094FA7-F9DC-4B08-99C9-F2B5C0D58E99}"/>
  </bookViews>
  <sheets>
    <sheet name="FACTURA" sheetId="1" r:id="rId1"/>
    <sheet name="CLIENTES" sheetId="2" r:id="rId2"/>
    <sheet name="PRODUCTO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7" i="1"/>
  <c r="F13" i="1"/>
  <c r="F14" i="1"/>
  <c r="F15" i="1"/>
  <c r="F16" i="1" s="1"/>
  <c r="F11" i="1"/>
  <c r="D12" i="1"/>
  <c r="F12" i="1" s="1"/>
  <c r="D13" i="1"/>
  <c r="D14" i="1"/>
  <c r="D15" i="1"/>
  <c r="D11" i="1"/>
  <c r="C11" i="1"/>
  <c r="C12" i="1"/>
  <c r="C13" i="1"/>
  <c r="C14" i="1"/>
  <c r="C15" i="1"/>
  <c r="F3" i="1"/>
  <c r="C7" i="1"/>
  <c r="C5" i="1"/>
</calcChain>
</file>

<file path=xl/sharedStrings.xml><?xml version="1.0" encoding="utf-8"?>
<sst xmlns="http://schemas.openxmlformats.org/spreadsheetml/2006/main" count="43" uniqueCount="33">
  <si>
    <t>PROFORMA</t>
  </si>
  <si>
    <t>DNI</t>
  </si>
  <si>
    <t>CLIENTE</t>
  </si>
  <si>
    <t>DIRECCIÓN</t>
  </si>
  <si>
    <t>TELÉFONO</t>
  </si>
  <si>
    <t>FORMA DE PAGO</t>
  </si>
  <si>
    <t>FECHA</t>
  </si>
  <si>
    <t>CÓDIGO</t>
  </si>
  <si>
    <t>DESCRIPCIÓN</t>
  </si>
  <si>
    <t>PRECIO</t>
  </si>
  <si>
    <t>CANTIDAD</t>
  </si>
  <si>
    <t>IMPORTE</t>
  </si>
  <si>
    <t>SUBTOTAL</t>
  </si>
  <si>
    <t>IVA</t>
  </si>
  <si>
    <t>TOTAL</t>
  </si>
  <si>
    <t>NOMBRE</t>
  </si>
  <si>
    <t>Mariela</t>
  </si>
  <si>
    <t>Natalia</t>
  </si>
  <si>
    <t>Elena</t>
  </si>
  <si>
    <t>Paty</t>
  </si>
  <si>
    <t>Avenida Colón</t>
  </si>
  <si>
    <t>C/ 6 de Diciembre</t>
  </si>
  <si>
    <t>C/ 10 de Agosto</t>
  </si>
  <si>
    <t>C/ Almagro</t>
  </si>
  <si>
    <t>ARTÍCULO</t>
  </si>
  <si>
    <t>ABC003</t>
  </si>
  <si>
    <t>ABC004</t>
  </si>
  <si>
    <t>ABC005</t>
  </si>
  <si>
    <t>ABC007</t>
  </si>
  <si>
    <t>Mouse</t>
  </si>
  <si>
    <t>Teclado</t>
  </si>
  <si>
    <t>Lápiz</t>
  </si>
  <si>
    <t>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</si>
</sst>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00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CF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n">
        <color theme="7"/>
      </right>
      <top style="thick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ck">
        <color theme="7"/>
      </top>
      <bottom style="thin">
        <color theme="7"/>
      </bottom>
      <diagonal/>
    </border>
    <border>
      <left style="thin">
        <color theme="7"/>
      </left>
      <right style="thick">
        <color theme="7"/>
      </right>
      <top style="thick">
        <color theme="7"/>
      </top>
      <bottom style="thin">
        <color theme="7"/>
      </bottom>
      <diagonal/>
    </border>
    <border>
      <left style="thick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ck">
        <color theme="7"/>
      </right>
      <top style="thin">
        <color theme="7"/>
      </top>
      <bottom style="thin">
        <color theme="7"/>
      </bottom>
      <diagonal/>
    </border>
    <border>
      <left style="thick">
        <color theme="7"/>
      </left>
      <right style="thin">
        <color theme="7"/>
      </right>
      <top style="thin">
        <color theme="7"/>
      </top>
      <bottom style="thick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ck">
        <color theme="7"/>
      </bottom>
      <diagonal/>
    </border>
    <border>
      <left style="thin">
        <color theme="7"/>
      </left>
      <right style="thick">
        <color theme="7"/>
      </right>
      <top style="thin">
        <color theme="7"/>
      </top>
      <bottom style="thick">
        <color theme="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" fontId="0" fillId="0" borderId="12" xfId="0" applyNumberFormat="1" applyBorder="1"/>
    <xf numFmtId="0" fontId="0" fillId="0" borderId="12" xfId="0" applyBorder="1"/>
    <xf numFmtId="0" fontId="2" fillId="0" borderId="9" xfId="0" applyFont="1" applyBorder="1"/>
    <xf numFmtId="0" fontId="2" fillId="0" borderId="1" xfId="0" applyFont="1" applyBorder="1"/>
    <xf numFmtId="0" fontId="4" fillId="2" borderId="0" xfId="0" applyFont="1" applyFill="1" applyAlignment="1">
      <alignment horizontal="right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3" borderId="0" xfId="0" applyFill="1"/>
    <xf numFmtId="0" fontId="2" fillId="3" borderId="4" xfId="0" applyFont="1" applyFill="1" applyBorder="1"/>
    <xf numFmtId="0" fontId="0" fillId="3" borderId="0" xfId="0" applyFill="1" applyBorder="1"/>
    <xf numFmtId="169" fontId="0" fillId="3" borderId="0" xfId="0" applyNumberFormat="1" applyFill="1" applyBorder="1"/>
    <xf numFmtId="169" fontId="0" fillId="3" borderId="5" xfId="0" applyNumberFormat="1" applyFill="1" applyBorder="1"/>
    <xf numFmtId="0" fontId="2" fillId="3" borderId="6" xfId="0" applyFont="1" applyFill="1" applyBorder="1"/>
    <xf numFmtId="0" fontId="0" fillId="3" borderId="7" xfId="0" applyFill="1" applyBorder="1"/>
    <xf numFmtId="169" fontId="0" fillId="3" borderId="7" xfId="0" applyNumberFormat="1" applyFill="1" applyBorder="1"/>
    <xf numFmtId="169" fontId="0" fillId="3" borderId="8" xfId="0" applyNumberFormat="1" applyFill="1" applyBorder="1"/>
    <xf numFmtId="0" fontId="2" fillId="3" borderId="2" xfId="0" applyFont="1" applyFill="1" applyBorder="1"/>
    <xf numFmtId="169" fontId="0" fillId="3" borderId="3" xfId="0" applyNumberFormat="1" applyFill="1" applyBorder="1"/>
    <xf numFmtId="0" fontId="1" fillId="4" borderId="9" xfId="0" applyFont="1" applyFill="1" applyBorder="1"/>
    <xf numFmtId="0" fontId="1" fillId="4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169" fontId="5" fillId="7" borderId="21" xfId="0" applyNumberFormat="1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169" fontId="5" fillId="7" borderId="24" xfId="0" applyNumberFormat="1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169" fontId="5" fillId="7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F3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294-1D6D-4AFC-A3B7-676E390D0336}">
  <dimension ref="A1:F18"/>
  <sheetViews>
    <sheetView tabSelected="1" workbookViewId="0">
      <selection activeCell="I6" sqref="I6"/>
    </sheetView>
  </sheetViews>
  <sheetFormatPr baseColWidth="10" defaultRowHeight="15" x14ac:dyDescent="0.25"/>
  <cols>
    <col min="1" max="1" width="11.28515625" bestFit="1" customWidth="1"/>
    <col min="2" max="2" width="10.7109375" bestFit="1" customWidth="1"/>
    <col min="3" max="3" width="14" bestFit="1" customWidth="1"/>
    <col min="4" max="4" width="7.42578125" bestFit="1" customWidth="1"/>
    <col min="5" max="5" width="16.28515625" bestFit="1" customWidth="1"/>
    <col min="6" max="6" width="9.140625" bestFit="1" customWidth="1"/>
  </cols>
  <sheetData>
    <row r="1" spans="1:6" ht="26.25" x14ac:dyDescent="0.4">
      <c r="A1" s="6" t="s">
        <v>0</v>
      </c>
      <c r="B1" s="6"/>
      <c r="C1" s="6"/>
      <c r="D1" s="6"/>
      <c r="E1" s="6"/>
      <c r="F1" s="6"/>
    </row>
    <row r="2" spans="1:6" ht="15.75" thickBot="1" x14ac:dyDescent="0.3">
      <c r="A2" s="10"/>
      <c r="B2" s="10"/>
      <c r="C2" s="10"/>
      <c r="D2" s="10"/>
      <c r="E2" s="10"/>
      <c r="F2" s="10"/>
    </row>
    <row r="3" spans="1:6" ht="16.5" thickTop="1" thickBot="1" x14ac:dyDescent="0.3">
      <c r="A3" s="10"/>
      <c r="B3" s="21" t="s">
        <v>1</v>
      </c>
      <c r="C3" s="2">
        <v>1715236467001</v>
      </c>
      <c r="D3" s="10"/>
      <c r="E3" s="4" t="s">
        <v>4</v>
      </c>
      <c r="F3" s="3">
        <f>VLOOKUP($C$3,CLIENTES!$B$3:$E$6,4,FALSE)</f>
        <v>2345678</v>
      </c>
    </row>
    <row r="4" spans="1:6" ht="15.75" thickBot="1" x14ac:dyDescent="0.3">
      <c r="A4" s="10"/>
      <c r="B4" s="10"/>
      <c r="C4" s="10"/>
      <c r="D4" s="10"/>
      <c r="E4" s="10"/>
      <c r="F4" s="10"/>
    </row>
    <row r="5" spans="1:6" ht="16.5" thickTop="1" thickBot="1" x14ac:dyDescent="0.3">
      <c r="A5" s="10"/>
      <c r="B5" s="4" t="s">
        <v>2</v>
      </c>
      <c r="C5" s="3" t="str">
        <f>VLOOKUP($C$3,CLIENTES!$B$3:$E$6,2,FALSE)</f>
        <v>Mariela</v>
      </c>
      <c r="D5" s="10"/>
      <c r="E5" s="5" t="s">
        <v>5</v>
      </c>
      <c r="F5" s="10"/>
    </row>
    <row r="6" spans="1:6" ht="15.75" thickBot="1" x14ac:dyDescent="0.3">
      <c r="A6" s="10"/>
      <c r="B6" s="10"/>
      <c r="C6" s="10"/>
      <c r="D6" s="10"/>
      <c r="E6" s="10"/>
      <c r="F6" s="10"/>
    </row>
    <row r="7" spans="1:6" ht="16.5" thickTop="1" thickBot="1" x14ac:dyDescent="0.3">
      <c r="A7" s="10"/>
      <c r="B7" s="4" t="s">
        <v>3</v>
      </c>
      <c r="C7" s="3" t="str">
        <f>VLOOKUP($C$3,CLIENTES!$B$3:$E$6,3,FALSE)</f>
        <v>Avenida Colón</v>
      </c>
      <c r="D7" s="10"/>
      <c r="E7" s="5" t="s">
        <v>6</v>
      </c>
      <c r="F7" s="10"/>
    </row>
    <row r="8" spans="1:6" x14ac:dyDescent="0.25">
      <c r="A8" s="10"/>
      <c r="B8" s="10"/>
      <c r="C8" s="10"/>
      <c r="D8" s="10"/>
      <c r="E8" s="10"/>
      <c r="F8" s="10"/>
    </row>
    <row r="9" spans="1:6" ht="15.75" thickBot="1" x14ac:dyDescent="0.3">
      <c r="A9" s="10"/>
      <c r="B9" s="10"/>
      <c r="C9" s="10"/>
      <c r="D9" s="10"/>
      <c r="E9" s="10"/>
      <c r="F9" s="10"/>
    </row>
    <row r="10" spans="1:6" ht="15.75" thickBot="1" x14ac:dyDescent="0.3">
      <c r="A10" s="10"/>
      <c r="B10" s="7" t="s">
        <v>7</v>
      </c>
      <c r="C10" s="8" t="s">
        <v>8</v>
      </c>
      <c r="D10" s="8" t="s">
        <v>9</v>
      </c>
      <c r="E10" s="8" t="s">
        <v>10</v>
      </c>
      <c r="F10" s="9" t="s">
        <v>11</v>
      </c>
    </row>
    <row r="11" spans="1:6" x14ac:dyDescent="0.25">
      <c r="A11" s="10"/>
      <c r="B11" s="11" t="s">
        <v>25</v>
      </c>
      <c r="C11" s="12" t="str">
        <f>IFERROR(VLOOKUP(B11,PRODUCTOS!$B$5:$D$8,2,FALSE),"")</f>
        <v>Mouse</v>
      </c>
      <c r="D11" s="13">
        <f>IFERROR(VLOOKUP(B11,PRODUCTOS!$B$5:$D$8,3,FALSE),"")</f>
        <v>5</v>
      </c>
      <c r="E11" s="12">
        <v>9</v>
      </c>
      <c r="F11" s="14">
        <f>IF(B11="","",IF(E11="","Introduce una cantidad",D11*E11))</f>
        <v>45</v>
      </c>
    </row>
    <row r="12" spans="1:6" x14ac:dyDescent="0.25">
      <c r="A12" s="10"/>
      <c r="B12" s="11" t="s">
        <v>26</v>
      </c>
      <c r="C12" s="12" t="str">
        <f>IFERROR(VLOOKUP(B12,PRODUCTOS!$B$5:$D$8,2,FALSE),"")</f>
        <v>Teclado</v>
      </c>
      <c r="D12" s="13">
        <f>IFERROR(VLOOKUP(B12,PRODUCTOS!$B$5:$D$8,3,FALSE),"")</f>
        <v>10</v>
      </c>
      <c r="E12" s="12">
        <v>9</v>
      </c>
      <c r="F12" s="14">
        <f>IF(B12="","",IF(E12="","Introduce una cantidad",D12*E12))</f>
        <v>90</v>
      </c>
    </row>
    <row r="13" spans="1:6" x14ac:dyDescent="0.25">
      <c r="A13" s="10"/>
      <c r="B13" s="11" t="s">
        <v>27</v>
      </c>
      <c r="C13" s="12" t="str">
        <f>IFERROR(VLOOKUP(B13,PRODUCTOS!$B$5:$D$8,2,FALSE),"")</f>
        <v>Lápiz</v>
      </c>
      <c r="D13" s="13">
        <f>IFERROR(VLOOKUP(B13,PRODUCTOS!$B$5:$D$8,3,FALSE),"")</f>
        <v>1.5</v>
      </c>
      <c r="E13" s="12">
        <v>18</v>
      </c>
      <c r="F13" s="14">
        <f t="shared" ref="F13:F15" si="0">IF(B13="","",IF(E13="","Introduce una cantidad",D13*E13))</f>
        <v>27</v>
      </c>
    </row>
    <row r="14" spans="1:6" x14ac:dyDescent="0.25">
      <c r="A14" s="10"/>
      <c r="B14" s="11" t="s">
        <v>28</v>
      </c>
      <c r="C14" s="12" t="str">
        <f>IFERROR(VLOOKUP(B14,PRODUCTOS!$B$5:$D$8,2,FALSE),"")</f>
        <v>Tutorial</v>
      </c>
      <c r="D14" s="13">
        <f>IFERROR(VLOOKUP(B14,PRODUCTOS!$B$5:$D$8,3,FALSE),"")</f>
        <v>15</v>
      </c>
      <c r="E14" s="12">
        <v>2</v>
      </c>
      <c r="F14" s="14">
        <f t="shared" si="0"/>
        <v>30</v>
      </c>
    </row>
    <row r="15" spans="1:6" ht="15.75" thickBot="1" x14ac:dyDescent="0.3">
      <c r="A15" s="10"/>
      <c r="B15" s="15" t="s">
        <v>28</v>
      </c>
      <c r="C15" s="16" t="str">
        <f>IFERROR(VLOOKUP(B15,PRODUCTOS!$B$5:$D$8,2,FALSE),"")</f>
        <v>Tutorial</v>
      </c>
      <c r="D15" s="17">
        <f>IFERROR(VLOOKUP(B15,PRODUCTOS!$B$5:$D$8,3,FALSE),"")</f>
        <v>15</v>
      </c>
      <c r="E15" s="16">
        <v>1</v>
      </c>
      <c r="F15" s="18">
        <f t="shared" si="0"/>
        <v>15</v>
      </c>
    </row>
    <row r="16" spans="1:6" x14ac:dyDescent="0.25">
      <c r="A16" s="10"/>
      <c r="B16" s="10"/>
      <c r="C16" s="10"/>
      <c r="D16" s="10"/>
      <c r="E16" s="19" t="s">
        <v>12</v>
      </c>
      <c r="F16" s="20">
        <f>SUM(F11:F15)</f>
        <v>207</v>
      </c>
    </row>
    <row r="17" spans="1:6" x14ac:dyDescent="0.25">
      <c r="A17" s="10"/>
      <c r="B17" s="10"/>
      <c r="C17" s="10"/>
      <c r="D17" s="10"/>
      <c r="E17" s="11" t="s">
        <v>13</v>
      </c>
      <c r="F17" s="14">
        <f>F16*0.21</f>
        <v>43.47</v>
      </c>
    </row>
    <row r="18" spans="1:6" ht="15.75" thickBot="1" x14ac:dyDescent="0.3">
      <c r="A18" s="10"/>
      <c r="B18" s="10"/>
      <c r="C18" s="10"/>
      <c r="D18" s="10"/>
      <c r="E18" s="15" t="s">
        <v>14</v>
      </c>
      <c r="F18" s="18">
        <f>F16+F17</f>
        <v>250.47</v>
      </c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1DB044-6C1A-4A2E-A84E-5E50204CC48B}">
          <x14:formula1>
            <xm:f>CLIENTES!$B$3:$B$6</xm:f>
          </x14:formula1>
          <xm:sqref>C3</xm:sqref>
        </x14:dataValidation>
        <x14:dataValidation type="list" allowBlank="1" showInputMessage="1" showErrorMessage="1" xr:uid="{42F69C51-3532-4D58-A961-D108A5157159}">
          <x14:formula1>
            <xm:f>PRODUCTOS!$B$5:$B$8</xm:f>
          </x14:formula1>
          <xm:sqref>B11:B15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FAD1-5F34-4563-9829-6F2058ACFE84}">
  <dimension ref="B1:E6"/>
  <sheetViews>
    <sheetView workbookViewId="0">
      <selection sqref="A1:XFD1048576"/>
    </sheetView>
  </sheetViews>
  <sheetFormatPr baseColWidth="10" defaultRowHeight="15" x14ac:dyDescent="0.25"/>
  <cols>
    <col min="1" max="1" width="11.42578125" style="1"/>
    <col min="2" max="2" width="14" style="1" bestFit="1" customWidth="1"/>
    <col min="3" max="3" width="9" style="1" bestFit="1" customWidth="1"/>
    <col min="4" max="4" width="16.85546875" style="1" bestFit="1" customWidth="1"/>
    <col min="5" max="5" width="10.140625" style="1" bestFit="1" customWidth="1"/>
    <col min="6" max="16384" width="11.42578125" style="1"/>
  </cols>
  <sheetData>
    <row r="1" spans="2:5" ht="15.75" thickBot="1" x14ac:dyDescent="0.3"/>
    <row r="2" spans="2:5" ht="16.5" thickTop="1" thickBot="1" x14ac:dyDescent="0.3">
      <c r="B2" s="22" t="s">
        <v>1</v>
      </c>
      <c r="C2" s="23" t="s">
        <v>15</v>
      </c>
      <c r="D2" s="23" t="s">
        <v>3</v>
      </c>
      <c r="E2" s="24" t="s">
        <v>4</v>
      </c>
    </row>
    <row r="3" spans="2:5" ht="15.75" thickTop="1" x14ac:dyDescent="0.25">
      <c r="B3" s="26">
        <v>1715236467001</v>
      </c>
      <c r="C3" s="25" t="s">
        <v>16</v>
      </c>
      <c r="D3" s="25" t="s">
        <v>20</v>
      </c>
      <c r="E3" s="25">
        <v>2345678</v>
      </c>
    </row>
    <row r="4" spans="2:5" x14ac:dyDescent="0.25">
      <c r="B4" s="26">
        <v>1309970695001</v>
      </c>
      <c r="C4" s="25" t="s">
        <v>17</v>
      </c>
      <c r="D4" s="25" t="s">
        <v>21</v>
      </c>
      <c r="E4" s="25">
        <v>1234567</v>
      </c>
    </row>
    <row r="5" spans="2:5" x14ac:dyDescent="0.25">
      <c r="B5" s="26">
        <v>1707180178001</v>
      </c>
      <c r="C5" s="25" t="s">
        <v>18</v>
      </c>
      <c r="D5" s="25" t="s">
        <v>22</v>
      </c>
      <c r="E5" s="25">
        <v>7654321</v>
      </c>
    </row>
    <row r="6" spans="2:5" x14ac:dyDescent="0.25">
      <c r="B6" s="26">
        <v>1802452944001</v>
      </c>
      <c r="C6" s="25" t="s">
        <v>19</v>
      </c>
      <c r="D6" s="25" t="s">
        <v>23</v>
      </c>
      <c r="E6" s="25">
        <v>3214587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5B1A-958F-40CB-84D0-A0FAA16F0AB5}">
  <dimension ref="B3:D9"/>
  <sheetViews>
    <sheetView workbookViewId="0">
      <selection activeCell="H8" sqref="H8"/>
    </sheetView>
  </sheetViews>
  <sheetFormatPr baseColWidth="10" defaultRowHeight="15" x14ac:dyDescent="0.25"/>
  <cols>
    <col min="1" max="1" width="11.42578125" style="1"/>
    <col min="2" max="2" width="8.28515625" style="1" bestFit="1" customWidth="1"/>
    <col min="3" max="3" width="9.85546875" style="1" bestFit="1" customWidth="1"/>
    <col min="4" max="4" width="7.42578125" style="1" bestFit="1" customWidth="1"/>
    <col min="5" max="16384" width="11.42578125" style="1"/>
  </cols>
  <sheetData>
    <row r="3" spans="2:4" ht="15.75" thickBot="1" x14ac:dyDescent="0.3"/>
    <row r="4" spans="2:4" ht="16.5" thickTop="1" thickBot="1" x14ac:dyDescent="0.3">
      <c r="B4" s="27" t="s">
        <v>7</v>
      </c>
      <c r="C4" s="28" t="s">
        <v>24</v>
      </c>
      <c r="D4" s="29" t="s">
        <v>9</v>
      </c>
    </row>
    <row r="5" spans="2:4" ht="15.75" thickTop="1" x14ac:dyDescent="0.25">
      <c r="B5" s="30" t="s">
        <v>25</v>
      </c>
      <c r="C5" s="31" t="s">
        <v>29</v>
      </c>
      <c r="D5" s="32">
        <v>5</v>
      </c>
    </row>
    <row r="6" spans="2:4" x14ac:dyDescent="0.25">
      <c r="B6" s="33" t="s">
        <v>26</v>
      </c>
      <c r="C6" s="34" t="s">
        <v>30</v>
      </c>
      <c r="D6" s="35">
        <v>10</v>
      </c>
    </row>
    <row r="7" spans="2:4" x14ac:dyDescent="0.25">
      <c r="B7" s="33" t="s">
        <v>27</v>
      </c>
      <c r="C7" s="34" t="s">
        <v>31</v>
      </c>
      <c r="D7" s="35">
        <v>1.5</v>
      </c>
    </row>
    <row r="8" spans="2:4" ht="15.75" thickBot="1" x14ac:dyDescent="0.3">
      <c r="B8" s="36" t="s">
        <v>28</v>
      </c>
      <c r="C8" s="37" t="s">
        <v>32</v>
      </c>
      <c r="D8" s="38">
        <v>15</v>
      </c>
    </row>
    <row r="9" spans="2:4" ht="15.75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</vt:lpstr>
      <vt:lpstr>CLIENTES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2026-06-03T10:01:20Z</dcterms:created>
  <dcterms:modified xsi:type="dcterms:W3CDTF">2026-06-03T10:33:52Z</dcterms:modified>
</cp:coreProperties>
</file>