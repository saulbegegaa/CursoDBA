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61CDA13-C0B9-4AE4-9D41-B6C328F85C93}" xr6:coauthVersionLast="47" xr6:coauthVersionMax="47" xr10:uidLastSave="{00000000-0000-0000-0000-000000000000}"/>
  <bookViews>
    <workbookView xWindow="-120" yWindow="-120" windowWidth="20730" windowHeight="11160" activeTab="1" xr2:uid="{40405378-5A70-4DAD-95F2-12E2753C061F}"/>
  </bookViews>
  <sheets>
    <sheet name="Ejercicio1" sheetId="1" r:id="rId1"/>
    <sheet name="Ejercicio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6" i="2"/>
  <c r="K7" i="2"/>
  <c r="K5" i="2"/>
  <c r="C20" i="1"/>
  <c r="J11" i="1" s="1"/>
  <c r="C22" i="1"/>
  <c r="C21" i="1"/>
  <c r="I11" i="1"/>
  <c r="I12" i="1"/>
  <c r="I13" i="1"/>
  <c r="I14" i="1"/>
  <c r="I15" i="1"/>
  <c r="I16" i="1"/>
  <c r="I17" i="1"/>
  <c r="I10" i="1"/>
  <c r="H11" i="1"/>
  <c r="H12" i="1"/>
  <c r="H13" i="1"/>
  <c r="H14" i="1"/>
  <c r="H15" i="1"/>
  <c r="H16" i="1"/>
  <c r="H17" i="1"/>
  <c r="H10" i="1"/>
  <c r="G10" i="1"/>
  <c r="J10" i="1" s="1"/>
  <c r="G11" i="1"/>
  <c r="G12" i="1"/>
  <c r="G13" i="1"/>
  <c r="G15" i="1"/>
  <c r="G14" i="1"/>
  <c r="G16" i="1"/>
  <c r="G17" i="1"/>
  <c r="J14" i="1" l="1"/>
  <c r="J15" i="1"/>
  <c r="J17" i="1"/>
  <c r="J13" i="1"/>
  <c r="J16" i="1"/>
  <c r="J12" i="1"/>
</calcChain>
</file>

<file path=xl/sharedStrings.xml><?xml version="1.0" encoding="utf-8"?>
<sst xmlns="http://schemas.openxmlformats.org/spreadsheetml/2006/main" count="49" uniqueCount="44">
  <si>
    <t>Vendedor</t>
  </si>
  <si>
    <t>1ª Semana</t>
  </si>
  <si>
    <t>2ª Semana</t>
  </si>
  <si>
    <t>3ª Semana</t>
  </si>
  <si>
    <t>4ª Semana</t>
  </si>
  <si>
    <t>Media</t>
  </si>
  <si>
    <t>Máximo</t>
  </si>
  <si>
    <t>Mínimo</t>
  </si>
  <si>
    <t>Angel</t>
  </si>
  <si>
    <t>Liliana</t>
  </si>
  <si>
    <t>Myrna</t>
  </si>
  <si>
    <t>Gabriel</t>
  </si>
  <si>
    <t>Rosa</t>
  </si>
  <si>
    <t>Elena</t>
  </si>
  <si>
    <t>Isabel</t>
  </si>
  <si>
    <t>Rebeca</t>
  </si>
  <si>
    <t>Máxima</t>
  </si>
  <si>
    <t>Mínima</t>
  </si>
  <si>
    <t>Noviembre de 2019</t>
  </si>
  <si>
    <t>Sobre la media</t>
  </si>
  <si>
    <t>ID</t>
  </si>
  <si>
    <t>Apellido</t>
  </si>
  <si>
    <t>Nombre</t>
  </si>
  <si>
    <t>Puesto</t>
  </si>
  <si>
    <t>Fecha nacimiento</t>
  </si>
  <si>
    <t>Polo</t>
  </si>
  <si>
    <t>Cruz</t>
  </si>
  <si>
    <t>Pazos</t>
  </si>
  <si>
    <t>Arévalo</t>
  </si>
  <si>
    <t>Millán</t>
  </si>
  <si>
    <t>Garín</t>
  </si>
  <si>
    <t>Paz</t>
  </si>
  <si>
    <t>Manuel</t>
  </si>
  <si>
    <t>Miguel</t>
  </si>
  <si>
    <t>Juliana</t>
  </si>
  <si>
    <t>Ricardo</t>
  </si>
  <si>
    <t>Raquel</t>
  </si>
  <si>
    <t>Comercial</t>
  </si>
  <si>
    <t>Marketing</t>
  </si>
  <si>
    <t>Producción</t>
  </si>
  <si>
    <t>Administración</t>
  </si>
  <si>
    <t>Ventas</t>
  </si>
  <si>
    <t>Diseño</t>
  </si>
  <si>
    <t>Buscar por Nº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</si>
</sst>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7" fontId="2" fillId="3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Fill="1" applyAlignment="1"/>
    <xf numFmtId="165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8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4" fontId="0" fillId="0" borderId="8" xfId="0" applyNumberFormat="1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4" borderId="6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2" fillId="4" borderId="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5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E60A-82EF-45F4-A73F-854D09D6B7A9}">
  <dimension ref="B6:J22"/>
  <sheetViews>
    <sheetView topLeftCell="A4" workbookViewId="0">
      <selection activeCell="B20" sqref="B20:C22"/>
    </sheetView>
  </sheetViews>
  <sheetFormatPr baseColWidth="10" defaultRowHeight="15" x14ac:dyDescent="0.25"/>
  <cols>
    <col min="2" max="2" width="9.85546875" bestFit="1" customWidth="1"/>
    <col min="3" max="6" width="10.28515625" bestFit="1" customWidth="1"/>
    <col min="7" max="7" width="8" bestFit="1" customWidth="1"/>
    <col min="8" max="8" width="8.28515625" bestFit="1" customWidth="1"/>
    <col min="9" max="9" width="8" bestFit="1" customWidth="1"/>
    <col min="10" max="10" width="18.140625" bestFit="1" customWidth="1"/>
    <col min="11" max="11" width="10.28515625" bestFit="1" customWidth="1"/>
    <col min="12" max="12" width="8" bestFit="1" customWidth="1"/>
    <col min="13" max="13" width="8.28515625" bestFit="1" customWidth="1"/>
    <col min="14" max="14" width="8" customWidth="1"/>
    <col min="15" max="15" width="18.140625" bestFit="1" customWidth="1"/>
  </cols>
  <sheetData>
    <row r="6" spans="2:10" x14ac:dyDescent="0.25">
      <c r="B6" s="1" t="s">
        <v>18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2"/>
      <c r="C7" s="2"/>
      <c r="D7" s="2"/>
      <c r="E7" s="2"/>
      <c r="F7" s="2"/>
      <c r="G7" s="2"/>
      <c r="H7" s="2"/>
      <c r="I7" s="2"/>
    </row>
    <row r="8" spans="2:10" ht="15.75" thickBot="1" x14ac:dyDescent="0.3">
      <c r="B8" s="2"/>
      <c r="C8" s="2"/>
      <c r="D8" s="2"/>
      <c r="E8" s="2"/>
      <c r="F8" s="2"/>
      <c r="G8" s="2"/>
      <c r="H8" s="2"/>
      <c r="I8" s="2"/>
    </row>
    <row r="9" spans="2:10" x14ac:dyDescent="0.25">
      <c r="B9" s="25" t="s">
        <v>0</v>
      </c>
      <c r="C9" s="26" t="s">
        <v>1</v>
      </c>
      <c r="D9" s="26" t="s">
        <v>2</v>
      </c>
      <c r="E9" s="26" t="s">
        <v>3</v>
      </c>
      <c r="F9" s="26" t="s">
        <v>4</v>
      </c>
      <c r="G9" s="26" t="s">
        <v>5</v>
      </c>
      <c r="H9" s="26" t="s">
        <v>6</v>
      </c>
      <c r="I9" s="26" t="s">
        <v>7</v>
      </c>
      <c r="J9" s="27" t="s">
        <v>19</v>
      </c>
    </row>
    <row r="10" spans="2:10" x14ac:dyDescent="0.25">
      <c r="B10" s="28" t="s">
        <v>8</v>
      </c>
      <c r="C10" s="29">
        <v>625</v>
      </c>
      <c r="D10" s="29">
        <v>780</v>
      </c>
      <c r="E10" s="29">
        <v>546</v>
      </c>
      <c r="F10" s="29">
        <v>610</v>
      </c>
      <c r="G10" s="29">
        <f>AVERAGE(C10:F10)</f>
        <v>640.25</v>
      </c>
      <c r="H10" s="29">
        <f>MAX(C10:F10)</f>
        <v>780</v>
      </c>
      <c r="I10" s="29">
        <f>MIN(C10:F10)</f>
        <v>546</v>
      </c>
      <c r="J10" s="30" t="str">
        <f>_xlfn.IFS(G10&gt;$C$20,"Superior a la media",G10&lt;$C$20,"Inferior a la media",G10=$C$20,"Igual a la media")</f>
        <v>Inferior a la media</v>
      </c>
    </row>
    <row r="11" spans="2:10" x14ac:dyDescent="0.25">
      <c r="B11" s="31" t="s">
        <v>9</v>
      </c>
      <c r="C11" s="32">
        <v>805</v>
      </c>
      <c r="D11" s="32">
        <v>680</v>
      </c>
      <c r="E11" s="32">
        <v>425</v>
      </c>
      <c r="F11" s="32">
        <v>915</v>
      </c>
      <c r="G11" s="32">
        <f>AVERAGE(C11:F11)</f>
        <v>706.25</v>
      </c>
      <c r="H11" s="32">
        <f t="shared" ref="H11:H17" si="0">MAX(C11:F11)</f>
        <v>915</v>
      </c>
      <c r="I11" s="32">
        <f t="shared" ref="I11:I17" si="1">MIN(C11:F11)</f>
        <v>425</v>
      </c>
      <c r="J11" s="33" t="str">
        <f>_xlfn.IFS(G11&gt;$C$20,"Superior a la media",G11&lt;$C$20,"Inferior a la media",G11=$C$20,"Igual a la media")</f>
        <v>Superior a la media</v>
      </c>
    </row>
    <row r="12" spans="2:10" x14ac:dyDescent="0.25">
      <c r="B12" s="34" t="s">
        <v>10</v>
      </c>
      <c r="C12" s="29">
        <v>450</v>
      </c>
      <c r="D12" s="29">
        <v>560</v>
      </c>
      <c r="E12" s="29">
        <v>510</v>
      </c>
      <c r="F12" s="29">
        <v>620</v>
      </c>
      <c r="G12" s="29">
        <f>AVERAGE(C12:F12)</f>
        <v>535</v>
      </c>
      <c r="H12" s="29">
        <f t="shared" si="0"/>
        <v>620</v>
      </c>
      <c r="I12" s="29">
        <f t="shared" si="1"/>
        <v>450</v>
      </c>
      <c r="J12" s="30" t="str">
        <f>_xlfn.IFS(G12&gt;$C$20,"Superior a la media",G12&lt;$C$20,"Inferior a la media",G12=$C$20,"Igual a la media")</f>
        <v>Inferior a la media</v>
      </c>
    </row>
    <row r="13" spans="2:10" x14ac:dyDescent="0.25">
      <c r="B13" s="31" t="s">
        <v>11</v>
      </c>
      <c r="C13" s="32">
        <v>480</v>
      </c>
      <c r="D13" s="32">
        <v>590</v>
      </c>
      <c r="E13" s="32">
        <v>680</v>
      </c>
      <c r="F13" s="32">
        <v>975</v>
      </c>
      <c r="G13" s="32">
        <f>AVERAGE(C13:F13)</f>
        <v>681.25</v>
      </c>
      <c r="H13" s="32">
        <f t="shared" si="0"/>
        <v>975</v>
      </c>
      <c r="I13" s="32">
        <f t="shared" si="1"/>
        <v>480</v>
      </c>
      <c r="J13" s="33" t="str">
        <f>_xlfn.IFS(G13&gt;$C$20,"Superior a la media",G13&lt;$C$20,"Inferior a la media",G13=$C$20,"Igual a la media")</f>
        <v>Superior a la media</v>
      </c>
    </row>
    <row r="14" spans="2:10" x14ac:dyDescent="0.25">
      <c r="B14" s="34" t="s">
        <v>12</v>
      </c>
      <c r="C14" s="29">
        <v>540</v>
      </c>
      <c r="D14" s="29">
        <v>485</v>
      </c>
      <c r="E14" s="29">
        <v>365</v>
      </c>
      <c r="F14" s="29">
        <v>590</v>
      </c>
      <c r="G14" s="29">
        <f t="shared" ref="G11:G17" si="2">AVERAGE(C14:F14)</f>
        <v>495</v>
      </c>
      <c r="H14" s="29">
        <f t="shared" si="0"/>
        <v>590</v>
      </c>
      <c r="I14" s="29">
        <f t="shared" si="1"/>
        <v>365</v>
      </c>
      <c r="J14" s="30" t="str">
        <f>_xlfn.IFS(G14&gt;$C$20,"Superior a la media",G14&lt;$C$20,"Inferior a la media",G14=$C$20,"Igual a la media")</f>
        <v>Inferior a la media</v>
      </c>
    </row>
    <row r="15" spans="2:10" x14ac:dyDescent="0.25">
      <c r="B15" s="31" t="s">
        <v>13</v>
      </c>
      <c r="C15" s="32">
        <v>840</v>
      </c>
      <c r="D15" s="32">
        <v>560</v>
      </c>
      <c r="E15" s="32">
        <v>740</v>
      </c>
      <c r="F15" s="32">
        <v>580</v>
      </c>
      <c r="G15" s="32">
        <f>AVERAGE(C15:F15)</f>
        <v>680</v>
      </c>
      <c r="H15" s="32">
        <f t="shared" si="0"/>
        <v>840</v>
      </c>
      <c r="I15" s="32">
        <f t="shared" si="1"/>
        <v>560</v>
      </c>
      <c r="J15" s="33" t="str">
        <f>_xlfn.IFS(G15&gt;$C$20,"Superior a la media",G15&lt;$C$20,"Inferior a la media",G15=$C$20,"Igual a la media")</f>
        <v>Superior a la media</v>
      </c>
    </row>
    <row r="16" spans="2:10" x14ac:dyDescent="0.25">
      <c r="B16" s="34" t="s">
        <v>14</v>
      </c>
      <c r="C16" s="29">
        <v>805</v>
      </c>
      <c r="D16" s="29">
        <v>665</v>
      </c>
      <c r="E16" s="29">
        <v>780</v>
      </c>
      <c r="F16" s="29">
        <v>820</v>
      </c>
      <c r="G16" s="29">
        <f t="shared" si="2"/>
        <v>767.5</v>
      </c>
      <c r="H16" s="29">
        <f t="shared" si="0"/>
        <v>820</v>
      </c>
      <c r="I16" s="29">
        <f t="shared" si="1"/>
        <v>665</v>
      </c>
      <c r="J16" s="30" t="str">
        <f>_xlfn.IFS(G16&gt;$C$20,"Superior a la media",G16&lt;$C$20,"Inferior a la media",G16=$C$20,"Igual a la media")</f>
        <v>Superior a la media</v>
      </c>
    </row>
    <row r="17" spans="2:10" ht="15.75" thickBot="1" x14ac:dyDescent="0.3">
      <c r="B17" s="35" t="s">
        <v>15</v>
      </c>
      <c r="C17" s="36">
        <v>640</v>
      </c>
      <c r="D17" s="36">
        <v>735</v>
      </c>
      <c r="E17" s="36">
        <v>745</v>
      </c>
      <c r="F17" s="36">
        <v>805</v>
      </c>
      <c r="G17" s="36">
        <f t="shared" si="2"/>
        <v>731.25</v>
      </c>
      <c r="H17" s="36">
        <f t="shared" si="0"/>
        <v>805</v>
      </c>
      <c r="I17" s="36">
        <f t="shared" si="1"/>
        <v>640</v>
      </c>
      <c r="J17" s="37" t="str">
        <f>_xlfn.IFS(G17&gt;$C$20,"Superior a la media",G17&lt;$C$20,"Inferior a la media",G17=$C$20,"Igual a la media")</f>
        <v>Superior a la media</v>
      </c>
    </row>
    <row r="18" spans="2:10" x14ac:dyDescent="0.25">
      <c r="B18" s="2"/>
      <c r="C18" s="2"/>
      <c r="D18" s="2"/>
      <c r="E18" s="2"/>
      <c r="F18" s="2"/>
      <c r="G18" s="2"/>
      <c r="H18" s="2"/>
      <c r="I18" s="2"/>
    </row>
    <row r="19" spans="2:10" ht="15.75" thickBot="1" x14ac:dyDescent="0.3">
      <c r="B19" s="2"/>
      <c r="C19" s="2"/>
      <c r="D19" s="2"/>
      <c r="E19" s="2"/>
      <c r="F19" s="2"/>
      <c r="G19" s="2"/>
      <c r="H19" s="2"/>
      <c r="I19" s="2"/>
    </row>
    <row r="20" spans="2:10" x14ac:dyDescent="0.25">
      <c r="B20" s="38" t="s">
        <v>5</v>
      </c>
      <c r="C20" s="39">
        <f>AVERAGE($C$10:$F$17)</f>
        <v>654.5625</v>
      </c>
      <c r="D20" s="3"/>
      <c r="E20" s="2"/>
      <c r="F20" s="2"/>
      <c r="G20" s="4"/>
      <c r="H20" s="2"/>
      <c r="I20" s="2"/>
    </row>
    <row r="21" spans="2:10" x14ac:dyDescent="0.25">
      <c r="B21" s="40" t="s">
        <v>16</v>
      </c>
      <c r="C21" s="41">
        <f>MAX($C$10:$F$17)</f>
        <v>975</v>
      </c>
      <c r="D21" s="3"/>
      <c r="E21" s="2"/>
      <c r="F21" s="2"/>
      <c r="G21" s="5"/>
      <c r="H21" s="2"/>
      <c r="I21" s="2"/>
    </row>
    <row r="22" spans="2:10" ht="15.75" thickBot="1" x14ac:dyDescent="0.3">
      <c r="B22" s="42" t="s">
        <v>17</v>
      </c>
      <c r="C22" s="43">
        <f>MIN($C$10:$F$17)</f>
        <v>365</v>
      </c>
      <c r="D22" s="3"/>
      <c r="E22" s="2"/>
      <c r="F22" s="2"/>
      <c r="G22" s="5"/>
      <c r="H22" s="2"/>
      <c r="I22" s="2"/>
    </row>
  </sheetData>
  <mergeCells count="1">
    <mergeCell ref="B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92AE-A456-4ABE-B700-309336D7F25B}">
  <dimension ref="C2:K9"/>
  <sheetViews>
    <sheetView tabSelected="1" workbookViewId="0">
      <selection activeCell="G16" sqref="G16"/>
    </sheetView>
  </sheetViews>
  <sheetFormatPr baseColWidth="10" defaultRowHeight="15" x14ac:dyDescent="0.25"/>
  <cols>
    <col min="1" max="2" width="11.42578125" style="6"/>
    <col min="3" max="3" width="4" style="6" bestFit="1" customWidth="1"/>
    <col min="4" max="4" width="8.5703125" style="6" bestFit="1" customWidth="1"/>
    <col min="5" max="5" width="8.28515625" style="6" bestFit="1" customWidth="1"/>
    <col min="6" max="6" width="14.42578125" style="6" bestFit="1" customWidth="1"/>
    <col min="7" max="7" width="16.7109375" style="6" bestFit="1" customWidth="1"/>
    <col min="8" max="9" width="11.42578125" style="6"/>
    <col min="10" max="10" width="22.5703125" style="6" bestFit="1" customWidth="1"/>
    <col min="11" max="11" width="14.42578125" style="6" bestFit="1" customWidth="1"/>
    <col min="12" max="16384" width="11.42578125" style="6"/>
  </cols>
  <sheetData>
    <row r="2" spans="3:11" ht="15.75" thickBot="1" x14ac:dyDescent="0.3"/>
    <row r="3" spans="3:11" ht="15.75" thickBot="1" x14ac:dyDescent="0.3">
      <c r="C3" s="20" t="s">
        <v>20</v>
      </c>
      <c r="D3" s="21" t="s">
        <v>21</v>
      </c>
      <c r="E3" s="21" t="s">
        <v>22</v>
      </c>
      <c r="F3" s="21" t="s">
        <v>23</v>
      </c>
      <c r="G3" s="22" t="s">
        <v>24</v>
      </c>
      <c r="J3" s="23" t="s">
        <v>43</v>
      </c>
      <c r="K3" s="24">
        <v>104</v>
      </c>
    </row>
    <row r="4" spans="3:11" x14ac:dyDescent="0.25">
      <c r="C4" s="9">
        <v>101</v>
      </c>
      <c r="D4" s="7" t="s">
        <v>25</v>
      </c>
      <c r="E4" s="7" t="s">
        <v>31</v>
      </c>
      <c r="F4" s="7" t="s">
        <v>37</v>
      </c>
      <c r="G4" s="10">
        <v>26351</v>
      </c>
      <c r="J4" s="19" t="s">
        <v>22</v>
      </c>
      <c r="K4" s="12" t="str">
        <f>VLOOKUP($K$3,$C$4:$G$9,3,0)</f>
        <v>Juliana</v>
      </c>
    </row>
    <row r="5" spans="3:11" x14ac:dyDescent="0.25">
      <c r="C5" s="11">
        <v>102</v>
      </c>
      <c r="D5" s="8" t="s">
        <v>26</v>
      </c>
      <c r="E5" s="8" t="s">
        <v>32</v>
      </c>
      <c r="F5" s="8" t="s">
        <v>38</v>
      </c>
      <c r="G5" s="12">
        <v>31273</v>
      </c>
      <c r="J5" s="9" t="s">
        <v>21</v>
      </c>
      <c r="K5" s="17" t="str">
        <f>VLOOKUP($K$3,$C$4:$G$9,2,0)</f>
        <v>Arévalo</v>
      </c>
    </row>
    <row r="6" spans="3:11" x14ac:dyDescent="0.25">
      <c r="C6" s="9">
        <v>103</v>
      </c>
      <c r="D6" s="7" t="s">
        <v>27</v>
      </c>
      <c r="E6" s="7" t="s">
        <v>33</v>
      </c>
      <c r="F6" s="7" t="s">
        <v>39</v>
      </c>
      <c r="G6" s="10">
        <v>34310</v>
      </c>
      <c r="J6" s="19" t="s">
        <v>23</v>
      </c>
      <c r="K6" s="12" t="str">
        <f>VLOOKUP($K$3,$C$4:$G$9,4,0)</f>
        <v>Administración</v>
      </c>
    </row>
    <row r="7" spans="3:11" ht="15.75" thickBot="1" x14ac:dyDescent="0.3">
      <c r="C7" s="11">
        <v>104</v>
      </c>
      <c r="D7" s="8" t="s">
        <v>28</v>
      </c>
      <c r="E7" s="8" t="s">
        <v>34</v>
      </c>
      <c r="F7" s="8" t="s">
        <v>40</v>
      </c>
      <c r="G7" s="12">
        <v>28905</v>
      </c>
      <c r="J7" s="16" t="s">
        <v>24</v>
      </c>
      <c r="K7" s="18">
        <f>VLOOKUP($K$3,$C$4:$G$9,5,0)</f>
        <v>28905</v>
      </c>
    </row>
    <row r="8" spans="3:11" x14ac:dyDescent="0.25">
      <c r="C8" s="9">
        <v>105</v>
      </c>
      <c r="D8" s="7" t="s">
        <v>29</v>
      </c>
      <c r="E8" s="7" t="s">
        <v>35</v>
      </c>
      <c r="F8" s="7" t="s">
        <v>41</v>
      </c>
      <c r="G8" s="10">
        <v>33688</v>
      </c>
    </row>
    <row r="9" spans="3:11" ht="15.75" thickBot="1" x14ac:dyDescent="0.3">
      <c r="C9" s="13">
        <v>106</v>
      </c>
      <c r="D9" s="14" t="s">
        <v>30</v>
      </c>
      <c r="E9" s="14" t="s">
        <v>36</v>
      </c>
      <c r="F9" s="14" t="s">
        <v>42</v>
      </c>
      <c r="G9" s="15">
        <v>33528</v>
      </c>
    </row>
  </sheetData>
  <dataValidations count="1">
    <dataValidation type="list" allowBlank="1" showInputMessage="1" showErrorMessage="1" sqref="K3" xr:uid="{5AD44280-2EDD-4CA7-AF3F-A338B898AA9F}">
      <formula1>$C$4:$C$9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Ejercicio1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2026-06-01T08:43:45Z</dcterms:created>
  <dcterms:modified xsi:type="dcterms:W3CDTF">2026-06-01T09:21:50Z</dcterms:modified>
</cp:coreProperties>
</file>