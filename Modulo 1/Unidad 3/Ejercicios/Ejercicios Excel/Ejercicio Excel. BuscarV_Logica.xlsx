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Modulo 1\Unidad 3\Ejercicios\Ejercicios Excel\"/>
    </mc:Choice>
  </mc:AlternateContent>
  <xr:revisionPtr revIDLastSave="0" documentId="13_ncr:1_{EEE8EBED-4D9F-4DE0-867B-9B489FC42C72}" xr6:coauthVersionLast="47" xr6:coauthVersionMax="47" xr10:uidLastSave="{00000000-0000-0000-0000-000000000000}"/>
  <bookViews>
    <workbookView xWindow="-120" yWindow="-120" windowWidth="20730" windowHeight="11160" xr2:uid="{A9727AC0-7712-4E9A-B0DE-4C125E471668}"/>
  </bookViews>
  <sheets>
    <sheet name="BuscarV" sheetId="1" r:id="rId1"/>
    <sheet name="Lógic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BG9" i="2"/>
  <c r="BG10" i="2"/>
  <c r="BG11" i="2"/>
  <c r="BG12" i="2"/>
  <c r="BG13" i="2"/>
  <c r="BG8" i="2"/>
  <c r="BF9" i="2"/>
  <c r="BF10" i="2"/>
  <c r="BF11" i="2"/>
  <c r="BF12" i="2"/>
  <c r="BF13" i="2"/>
  <c r="BF8" i="2"/>
  <c r="BE9" i="2"/>
  <c r="BE10" i="2"/>
  <c r="BE11" i="2"/>
  <c r="BE12" i="2"/>
  <c r="BE13" i="2"/>
  <c r="BE8" i="2"/>
  <c r="AW5" i="2"/>
  <c r="AW6" i="2"/>
  <c r="AW7" i="2"/>
  <c r="AW8" i="2"/>
  <c r="AW9" i="2"/>
  <c r="AW10" i="2"/>
  <c r="AW11" i="2"/>
  <c r="AW4" i="2"/>
  <c r="AN9" i="2"/>
  <c r="AN10" i="2"/>
  <c r="AN11" i="2"/>
  <c r="AN12" i="2"/>
  <c r="AN13" i="2"/>
  <c r="AN14" i="2"/>
  <c r="AN8" i="2"/>
  <c r="AM9" i="2"/>
  <c r="AM10" i="2"/>
  <c r="AM11" i="2"/>
  <c r="AM12" i="2"/>
  <c r="AM13" i="2"/>
  <c r="AM14" i="2"/>
  <c r="AM8" i="2"/>
  <c r="AL9" i="2"/>
  <c r="AL10" i="2"/>
  <c r="AL11" i="2"/>
  <c r="AL12" i="2"/>
  <c r="AL13" i="2"/>
  <c r="AL14" i="2"/>
  <c r="AL8" i="2"/>
  <c r="AJ10" i="2"/>
  <c r="AJ11" i="2"/>
  <c r="AJ12" i="2" s="1"/>
  <c r="AJ13" i="2" s="1"/>
  <c r="AJ14" i="2" s="1"/>
  <c r="AJ9" i="2"/>
  <c r="AJ8" i="2"/>
  <c r="AD5" i="2"/>
  <c r="AD6" i="2"/>
  <c r="AD7" i="2"/>
  <c r="AD8" i="2"/>
  <c r="AD9" i="2"/>
  <c r="AD10" i="2"/>
  <c r="AD11" i="2"/>
  <c r="AD12" i="2"/>
  <c r="AD4" i="2"/>
  <c r="Z15" i="2"/>
  <c r="Z14" i="2"/>
  <c r="O12" i="2"/>
  <c r="N12" i="2"/>
  <c r="O11" i="2"/>
  <c r="N11" i="2"/>
  <c r="E11" i="2"/>
  <c r="D11" i="2"/>
  <c r="C11" i="2"/>
  <c r="U10" i="2"/>
  <c r="O10" i="2"/>
  <c r="N10" i="2"/>
  <c r="E10" i="2"/>
  <c r="D10" i="2"/>
  <c r="C10" i="2"/>
  <c r="U9" i="2"/>
  <c r="O9" i="2"/>
  <c r="N9" i="2"/>
  <c r="E9" i="2"/>
  <c r="D9" i="2"/>
  <c r="C9" i="2"/>
  <c r="U8" i="2"/>
  <c r="O8" i="2"/>
  <c r="N8" i="2"/>
  <c r="U7" i="2"/>
  <c r="O7" i="2"/>
  <c r="N7" i="2"/>
  <c r="G7" i="2"/>
  <c r="F7" i="2"/>
  <c r="U6" i="2"/>
  <c r="O6" i="2"/>
  <c r="N6" i="2"/>
  <c r="G6" i="2"/>
  <c r="F6" i="2"/>
  <c r="U5" i="2"/>
  <c r="O5" i="2"/>
  <c r="N5" i="2"/>
  <c r="G5" i="2"/>
  <c r="F5" i="2"/>
  <c r="U4" i="2"/>
  <c r="O4" i="2"/>
  <c r="N4" i="2"/>
  <c r="G4" i="2"/>
  <c r="F4" i="2"/>
  <c r="AM21" i="1"/>
  <c r="AM20" i="1"/>
  <c r="AM19" i="1"/>
  <c r="P19" i="1"/>
  <c r="O19" i="1"/>
  <c r="N19" i="1"/>
  <c r="M19" i="1"/>
  <c r="L19" i="1"/>
  <c r="J19" i="1"/>
  <c r="AM18" i="1"/>
  <c r="AL18" i="1"/>
  <c r="AJ18" i="1"/>
  <c r="P18" i="1"/>
  <c r="O18" i="1"/>
  <c r="N18" i="1"/>
  <c r="M18" i="1"/>
  <c r="L18" i="1"/>
  <c r="J18" i="1"/>
  <c r="AM17" i="1"/>
  <c r="AL17" i="1"/>
  <c r="AJ17" i="1"/>
  <c r="P17" i="1"/>
  <c r="O17" i="1"/>
  <c r="N17" i="1"/>
  <c r="M17" i="1"/>
  <c r="L17" i="1"/>
  <c r="J17" i="1"/>
  <c r="AM16" i="1"/>
  <c r="AL16" i="1"/>
  <c r="AJ16" i="1"/>
  <c r="P16" i="1"/>
  <c r="O16" i="1"/>
  <c r="N16" i="1"/>
  <c r="M16" i="1"/>
  <c r="L16" i="1"/>
  <c r="J16" i="1"/>
  <c r="AM15" i="1"/>
  <c r="AL15" i="1"/>
  <c r="AJ15" i="1"/>
  <c r="P15" i="1"/>
  <c r="O15" i="1"/>
  <c r="N15" i="1"/>
  <c r="M15" i="1"/>
  <c r="L15" i="1"/>
  <c r="J15" i="1"/>
  <c r="AM14" i="1"/>
  <c r="AL14" i="1"/>
  <c r="AJ14" i="1"/>
  <c r="P14" i="1"/>
  <c r="O14" i="1"/>
  <c r="N14" i="1"/>
  <c r="M14" i="1"/>
  <c r="L14" i="1"/>
  <c r="J14" i="1"/>
  <c r="AM13" i="1"/>
  <c r="AL13" i="1"/>
  <c r="AJ13" i="1"/>
  <c r="Y13" i="1"/>
  <c r="U13" i="1"/>
  <c r="P13" i="1"/>
  <c r="O13" i="1"/>
  <c r="N13" i="1"/>
  <c r="M13" i="1"/>
  <c r="L13" i="1"/>
  <c r="AM12" i="1"/>
  <c r="AL12" i="1"/>
  <c r="AJ12" i="1"/>
  <c r="AA12" i="1"/>
  <c r="Z12" i="1"/>
  <c r="V12" i="1"/>
  <c r="AM11" i="1"/>
  <c r="AL11" i="1"/>
  <c r="AJ11" i="1"/>
  <c r="AM10" i="1"/>
  <c r="AL10" i="1"/>
  <c r="AJ10" i="1"/>
  <c r="N5" i="1"/>
  <c r="N4" i="1"/>
  <c r="N3" i="1"/>
  <c r="C3" i="1"/>
</calcChain>
</file>

<file path=xl/sharedStrings.xml><?xml version="1.0" encoding="utf-8"?>
<sst xmlns="http://schemas.openxmlformats.org/spreadsheetml/2006/main" count="231" uniqueCount="176">
  <si>
    <t>Código</t>
  </si>
  <si>
    <t>Artículo</t>
  </si>
  <si>
    <t>CODIGO</t>
  </si>
  <si>
    <t>ARTICULO</t>
  </si>
  <si>
    <t>X1A</t>
  </si>
  <si>
    <t>JK2</t>
  </si>
  <si>
    <t>L33</t>
  </si>
  <si>
    <t>AR5</t>
  </si>
  <si>
    <t>IUW</t>
  </si>
  <si>
    <t>GGA</t>
  </si>
  <si>
    <t>ZZS</t>
  </si>
  <si>
    <t>Ordenador</t>
  </si>
  <si>
    <t>Disco duro</t>
  </si>
  <si>
    <t>CD Rom</t>
  </si>
  <si>
    <t>Tarjeta de sonido</t>
  </si>
  <si>
    <t>Altavoces</t>
  </si>
  <si>
    <t>Ratón</t>
  </si>
  <si>
    <t>Grabadora</t>
  </si>
  <si>
    <t>C001</t>
  </si>
  <si>
    <t>C002</t>
  </si>
  <si>
    <t>C003</t>
  </si>
  <si>
    <t>C004</t>
  </si>
  <si>
    <t>C005</t>
  </si>
  <si>
    <t>C006</t>
  </si>
  <si>
    <t>C007</t>
  </si>
  <si>
    <t>ARTICULOS</t>
  </si>
  <si>
    <t>PRECIO</t>
  </si>
  <si>
    <t>ASAS</t>
  </si>
  <si>
    <t>REFUERZOS</t>
  </si>
  <si>
    <t>CORDONES</t>
  </si>
  <si>
    <t>BOLSAS</t>
  </si>
  <si>
    <t>TAPAS</t>
  </si>
  <si>
    <t>EMBALAJES</t>
  </si>
  <si>
    <t>FONDOS</t>
  </si>
  <si>
    <t>Artículos</t>
  </si>
  <si>
    <t>Unidades</t>
  </si>
  <si>
    <t>Bruto</t>
  </si>
  <si>
    <t>Dto.Base</t>
  </si>
  <si>
    <t>Neto</t>
  </si>
  <si>
    <t>Iva</t>
  </si>
  <si>
    <t>TOTAL</t>
  </si>
  <si>
    <t>UNIDADES</t>
  </si>
  <si>
    <t>MEDIA</t>
  </si>
  <si>
    <t>MAXIMA</t>
  </si>
  <si>
    <t>MINIMA</t>
  </si>
  <si>
    <t>Tabla de antigüedad</t>
  </si>
  <si>
    <t>Años</t>
  </si>
  <si>
    <t>Porcentaje</t>
  </si>
  <si>
    <t>Nº de empleado</t>
  </si>
  <si>
    <t>Empleado</t>
  </si>
  <si>
    <t>Surezú</t>
  </si>
  <si>
    <t>González</t>
  </si>
  <si>
    <t>Quirodino</t>
  </si>
  <si>
    <t>Mivo</t>
  </si>
  <si>
    <t>Moreno</t>
  </si>
  <si>
    <t>Tiergle</t>
  </si>
  <si>
    <t>Sueldo</t>
  </si>
  <si>
    <t>Antigüedad</t>
  </si>
  <si>
    <t>Salario Fam.</t>
  </si>
  <si>
    <t>Nº de Empleado</t>
  </si>
  <si>
    <t>Nombre</t>
  </si>
  <si>
    <t>Remuneración</t>
  </si>
  <si>
    <t>Disco Duro</t>
  </si>
  <si>
    <t>CD ROM</t>
  </si>
  <si>
    <t>Fecha</t>
  </si>
  <si>
    <t>Cliente</t>
  </si>
  <si>
    <t>NOTA DE PEDIDO</t>
  </si>
  <si>
    <t>Cantidad</t>
  </si>
  <si>
    <t>Precio</t>
  </si>
  <si>
    <t>Importe</t>
  </si>
  <si>
    <t>BRUTO</t>
  </si>
  <si>
    <t>NETO</t>
  </si>
  <si>
    <t>IVA 21%</t>
  </si>
  <si>
    <t>Saúl Begega Álvarez</t>
  </si>
  <si>
    <t>Caja de Sidra Trabanco</t>
  </si>
  <si>
    <t>CST</t>
  </si>
  <si>
    <t>EJERCICIO 2</t>
  </si>
  <si>
    <t>EJERCICIO 1</t>
  </si>
  <si>
    <t>EJERCICIO 3</t>
  </si>
  <si>
    <t>EJERCICIO 4</t>
  </si>
  <si>
    <t>PAISES</t>
  </si>
  <si>
    <t>POBLACION</t>
  </si>
  <si>
    <t>Nº NACIDOS</t>
  </si>
  <si>
    <t>Nº MUERTOS</t>
  </si>
  <si>
    <t>INDICE NAT</t>
  </si>
  <si>
    <t>RESULTADO</t>
  </si>
  <si>
    <t>Australia</t>
  </si>
  <si>
    <t>España</t>
  </si>
  <si>
    <t>Italia</t>
  </si>
  <si>
    <t>Alemania</t>
  </si>
  <si>
    <t>MEDIAS</t>
  </si>
  <si>
    <t>Partidas</t>
  </si>
  <si>
    <t>Cantidad Año 2003</t>
  </si>
  <si>
    <t>Cantidad Año 2004</t>
  </si>
  <si>
    <t>Saldo 2003-2004</t>
  </si>
  <si>
    <t>Situación</t>
  </si>
  <si>
    <t>Compras</t>
  </si>
  <si>
    <t>Sueldos y salarios</t>
  </si>
  <si>
    <t>Gastos de administración</t>
  </si>
  <si>
    <t>Gastos financieros</t>
  </si>
  <si>
    <t>Dividendos</t>
  </si>
  <si>
    <t>Inversiones</t>
  </si>
  <si>
    <t>Impuestos</t>
  </si>
  <si>
    <t>Devolución de créditos</t>
  </si>
  <si>
    <t>Otros Gastos</t>
  </si>
  <si>
    <t>Clientes</t>
  </si>
  <si>
    <t>José Álvarez</t>
  </si>
  <si>
    <t>Javier Fernández</t>
  </si>
  <si>
    <t>Cristina Albert</t>
  </si>
  <si>
    <t>María García</t>
  </si>
  <si>
    <t>Juan Díaz</t>
  </si>
  <si>
    <t>Ana Martínez</t>
  </si>
  <si>
    <t>Luis Sánchez</t>
  </si>
  <si>
    <t>Residencia</t>
  </si>
  <si>
    <t>Valencia</t>
  </si>
  <si>
    <t>Madrid</t>
  </si>
  <si>
    <t>Sevilla</t>
  </si>
  <si>
    <t>Barcelona</t>
  </si>
  <si>
    <t>Descuentos</t>
  </si>
  <si>
    <t>CANTIDAD</t>
  </si>
  <si>
    <t>PRECAUCIÓN</t>
  </si>
  <si>
    <t>A1</t>
  </si>
  <si>
    <t>A2</t>
  </si>
  <si>
    <t>A3</t>
  </si>
  <si>
    <t>B1</t>
  </si>
  <si>
    <t>B2</t>
  </si>
  <si>
    <t>B3</t>
  </si>
  <si>
    <t>C1</t>
  </si>
  <si>
    <t>C3</t>
  </si>
  <si>
    <t>C2</t>
  </si>
  <si>
    <t>A</t>
  </si>
  <si>
    <t>B</t>
  </si>
  <si>
    <t>C</t>
  </si>
  <si>
    <t>CUANTOS HAY CAT. A?</t>
  </si>
  <si>
    <t>CUANTOS CUESTAN MENOS DE 0,5?</t>
  </si>
  <si>
    <t>CATEGORÍA</t>
  </si>
  <si>
    <t>EJERCICIO 5</t>
  </si>
  <si>
    <t>Valor de entrada</t>
  </si>
  <si>
    <t>Subida</t>
  </si>
  <si>
    <t>Valor</t>
  </si>
  <si>
    <t>Tipo de Dto.</t>
  </si>
  <si>
    <t>Descuento</t>
  </si>
  <si>
    <t>Total</t>
  </si>
  <si>
    <t>Calidad</t>
  </si>
  <si>
    <t>EJERCICIO 6</t>
  </si>
  <si>
    <t>Nº de socio</t>
  </si>
  <si>
    <t>Edad</t>
  </si>
  <si>
    <t>Deuda/Cuota</t>
  </si>
  <si>
    <t>Resultado</t>
  </si>
  <si>
    <t>Pedro Pou</t>
  </si>
  <si>
    <t>Luís Sánchez</t>
  </si>
  <si>
    <t>Martín Gallo</t>
  </si>
  <si>
    <t>José Piperno</t>
  </si>
  <si>
    <t>Marcelo Tineil</t>
  </si>
  <si>
    <t>Luisa Vehil</t>
  </si>
  <si>
    <t>Martín González</t>
  </si>
  <si>
    <t>Rolando Rivas</t>
  </si>
  <si>
    <t>EJERCICIO 7</t>
  </si>
  <si>
    <t>CURSO</t>
  </si>
  <si>
    <t>Nota Máxima</t>
  </si>
  <si>
    <t>Nota Mínima</t>
  </si>
  <si>
    <t>Media Notas</t>
  </si>
  <si>
    <t>Nº Alumnos</t>
  </si>
  <si>
    <t>Alumno</t>
  </si>
  <si>
    <t>1ª Ev</t>
  </si>
  <si>
    <t>2ª Ev</t>
  </si>
  <si>
    <t>3ª Ev</t>
  </si>
  <si>
    <t>Nota final</t>
  </si>
  <si>
    <t>Calificación</t>
  </si>
  <si>
    <t>Juan López</t>
  </si>
  <si>
    <t>Pedro Pérez</t>
  </si>
  <si>
    <t>Federico Ruíz</t>
  </si>
  <si>
    <t>Carlos Álvarez</t>
  </si>
  <si>
    <t>Natalia Alonso</t>
  </si>
  <si>
    <t>Nieves Sánchez</t>
  </si>
  <si>
    <t>Apto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</si>
</sst>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71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3" fillId="2" borderId="20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2" fontId="0" fillId="0" borderId="20" xfId="1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4" fontId="0" fillId="0" borderId="23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2" fontId="0" fillId="0" borderId="23" xfId="1" applyNumberFormat="1" applyFon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44" fontId="0" fillId="0" borderId="31" xfId="0" applyNumberForma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9" fontId="0" fillId="0" borderId="1" xfId="2" applyFont="1" applyBorder="1"/>
    <xf numFmtId="0" fontId="8" fillId="2" borderId="3" xfId="0" applyFont="1" applyFill="1" applyBorder="1"/>
    <xf numFmtId="0" fontId="2" fillId="2" borderId="16" xfId="0" applyFont="1" applyFill="1" applyBorder="1"/>
    <xf numFmtId="164" fontId="0" fillId="0" borderId="16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20" xfId="0" applyFont="1" applyFill="1" applyBorder="1"/>
    <xf numFmtId="0" fontId="0" fillId="0" borderId="20" xfId="0" applyBorder="1"/>
    <xf numFmtId="0" fontId="0" fillId="0" borderId="8" xfId="0" applyBorder="1"/>
    <xf numFmtId="14" fontId="0" fillId="0" borderId="22" xfId="0" applyNumberFormat="1" applyBorder="1" applyAlignment="1">
      <alignment horizontal="center" vertical="center"/>
    </xf>
    <xf numFmtId="164" fontId="0" fillId="0" borderId="22" xfId="0" applyNumberFormat="1" applyBorder="1"/>
    <xf numFmtId="9" fontId="0" fillId="0" borderId="22" xfId="2" applyFont="1" applyBorder="1"/>
    <xf numFmtId="0" fontId="0" fillId="0" borderId="23" xfId="0" applyBorder="1"/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71" fontId="0" fillId="0" borderId="22" xfId="0" applyNumberForma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0" fontId="3" fillId="2" borderId="36" xfId="0" applyFon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35DA-7556-4A0D-B838-6AFAA3F9EC94}">
  <dimension ref="A1:AP22"/>
  <sheetViews>
    <sheetView tabSelected="1" topLeftCell="B1" workbookViewId="0">
      <selection activeCell="H1" sqref="H1"/>
    </sheetView>
  </sheetViews>
  <sheetFormatPr baseColWidth="10" defaultRowHeight="15" x14ac:dyDescent="0.25"/>
  <cols>
    <col min="3" max="3" width="19.42578125" customWidth="1"/>
    <col min="5" max="5" width="16" customWidth="1"/>
    <col min="6" max="6" width="17.5703125" customWidth="1"/>
    <col min="19" max="19" width="18.28515625" customWidth="1"/>
    <col min="20" max="20" width="21" customWidth="1"/>
    <col min="23" max="23" width="18.7109375" customWidth="1"/>
    <col min="24" max="24" width="24" customWidth="1"/>
    <col min="32" max="32" width="23.42578125" customWidth="1"/>
    <col min="36" max="36" width="24.42578125" customWidth="1"/>
    <col min="39" max="39" width="12.42578125" bestFit="1" customWidth="1"/>
  </cols>
  <sheetData>
    <row r="1" spans="1:42" ht="47.25" thickBot="1" x14ac:dyDescent="0.3">
      <c r="A1" s="1"/>
      <c r="B1" s="84" t="s">
        <v>77</v>
      </c>
      <c r="C1" s="85"/>
      <c r="D1" s="85"/>
      <c r="E1" s="85"/>
      <c r="F1" s="86"/>
      <c r="G1" s="1"/>
      <c r="H1" s="1"/>
      <c r="I1" s="81" t="s">
        <v>76</v>
      </c>
      <c r="J1" s="82"/>
      <c r="K1" s="82"/>
      <c r="L1" s="82"/>
      <c r="M1" s="82"/>
      <c r="N1" s="82"/>
      <c r="O1" s="82"/>
      <c r="P1" s="83"/>
      <c r="Q1" s="1"/>
      <c r="R1" s="1"/>
      <c r="S1" s="1"/>
      <c r="T1" s="81" t="s">
        <v>78</v>
      </c>
      <c r="U1" s="82"/>
      <c r="V1" s="82"/>
      <c r="W1" s="82"/>
      <c r="X1" s="82"/>
      <c r="Y1" s="82"/>
      <c r="Z1" s="82"/>
      <c r="AA1" s="83"/>
      <c r="AB1" s="1"/>
      <c r="AC1" s="1"/>
      <c r="AD1" s="1"/>
      <c r="AE1" s="81" t="s">
        <v>79</v>
      </c>
      <c r="AF1" s="82"/>
      <c r="AG1" s="82"/>
      <c r="AH1" s="82"/>
      <c r="AI1" s="82"/>
      <c r="AJ1" s="82"/>
      <c r="AK1" s="82"/>
      <c r="AL1" s="82"/>
      <c r="AM1" s="83"/>
      <c r="AN1" s="1"/>
      <c r="AO1" s="1"/>
      <c r="AP1" s="1"/>
    </row>
    <row r="2" spans="1:42" ht="15.75" thickBot="1" x14ac:dyDescent="0.3">
      <c r="A2" s="1"/>
      <c r="B2" s="9" t="s">
        <v>0</v>
      </c>
      <c r="C2" s="122" t="s">
        <v>7</v>
      </c>
      <c r="D2" s="20"/>
      <c r="E2" s="9" t="s">
        <v>2</v>
      </c>
      <c r="F2" s="11" t="s">
        <v>3</v>
      </c>
      <c r="G2" s="1"/>
      <c r="H2" s="1"/>
      <c r="I2" s="133" t="s">
        <v>2</v>
      </c>
      <c r="J2" s="134" t="s">
        <v>25</v>
      </c>
      <c r="K2" s="134" t="s">
        <v>26</v>
      </c>
      <c r="L2" s="20"/>
      <c r="M2" s="131" t="s">
        <v>41</v>
      </c>
      <c r="N2" s="131"/>
      <c r="O2" s="20"/>
      <c r="P2" s="34"/>
      <c r="Q2" s="1"/>
      <c r="R2" s="1"/>
      <c r="S2" s="1"/>
      <c r="T2" s="112" t="s">
        <v>45</v>
      </c>
      <c r="U2" s="136"/>
      <c r="V2" s="96"/>
      <c r="W2" s="9" t="s">
        <v>48</v>
      </c>
      <c r="X2" s="10" t="s">
        <v>49</v>
      </c>
      <c r="Y2" s="10" t="s">
        <v>56</v>
      </c>
      <c r="Z2" s="10" t="s">
        <v>57</v>
      </c>
      <c r="AA2" s="11" t="s">
        <v>58</v>
      </c>
      <c r="AB2" s="1"/>
      <c r="AC2" s="1"/>
      <c r="AD2" s="1"/>
      <c r="AE2" s="40" t="s">
        <v>2</v>
      </c>
      <c r="AF2" s="41" t="s">
        <v>3</v>
      </c>
      <c r="AG2" s="42" t="s">
        <v>26</v>
      </c>
      <c r="AH2" s="91"/>
      <c r="AI2" s="43" t="s">
        <v>64</v>
      </c>
      <c r="AJ2" s="97">
        <v>46168</v>
      </c>
      <c r="AK2" s="98"/>
      <c r="AL2" s="99"/>
      <c r="AM2" s="87"/>
      <c r="AN2" s="1"/>
      <c r="AO2" s="1"/>
      <c r="AP2" s="1"/>
    </row>
    <row r="3" spans="1:42" ht="15.75" thickBot="1" x14ac:dyDescent="0.3">
      <c r="A3" s="1"/>
      <c r="B3" s="23" t="s">
        <v>1</v>
      </c>
      <c r="C3" s="52" t="str">
        <f>VLOOKUP(C2,$E$3:$F$9,2,0)</f>
        <v>Tarjeta de sonido</v>
      </c>
      <c r="D3" s="1"/>
      <c r="E3" s="14" t="s">
        <v>4</v>
      </c>
      <c r="F3" s="13" t="s">
        <v>11</v>
      </c>
      <c r="G3" s="1"/>
      <c r="H3" s="1"/>
      <c r="I3" s="28" t="s">
        <v>18</v>
      </c>
      <c r="J3" s="33" t="s">
        <v>27</v>
      </c>
      <c r="K3" s="132">
        <v>0.3</v>
      </c>
      <c r="L3" s="1"/>
      <c r="M3" s="28" t="s">
        <v>42</v>
      </c>
      <c r="N3" s="132">
        <f>AVERAGE(K13:K19)</f>
        <v>557.14285714285711</v>
      </c>
      <c r="O3" s="1"/>
      <c r="P3" s="21"/>
      <c r="Q3" s="1"/>
      <c r="R3" s="1"/>
      <c r="S3" s="1"/>
      <c r="T3" s="12" t="s">
        <v>46</v>
      </c>
      <c r="U3" s="137" t="s">
        <v>47</v>
      </c>
      <c r="V3" s="94"/>
      <c r="W3" s="14">
        <v>1</v>
      </c>
      <c r="X3" s="2" t="s">
        <v>50</v>
      </c>
      <c r="Y3" s="2">
        <v>1000</v>
      </c>
      <c r="Z3" s="2">
        <v>1</v>
      </c>
      <c r="AA3" s="26">
        <v>125</v>
      </c>
      <c r="AB3" s="1"/>
      <c r="AC3" s="1"/>
      <c r="AD3" s="1"/>
      <c r="AE3" s="28" t="s">
        <v>4</v>
      </c>
      <c r="AF3" s="29" t="s">
        <v>11</v>
      </c>
      <c r="AG3" s="30">
        <v>1081.8219999999999</v>
      </c>
      <c r="AH3" s="92"/>
      <c r="AI3" s="27" t="s">
        <v>65</v>
      </c>
      <c r="AJ3" s="100" t="s">
        <v>73</v>
      </c>
      <c r="AK3" s="101"/>
      <c r="AL3" s="102"/>
      <c r="AM3" s="88"/>
      <c r="AN3" s="1"/>
      <c r="AO3" s="1"/>
      <c r="AP3" s="1"/>
    </row>
    <row r="4" spans="1:42" ht="15.75" thickBot="1" x14ac:dyDescent="0.3">
      <c r="A4" s="1"/>
      <c r="B4" s="5"/>
      <c r="C4" s="1"/>
      <c r="D4" s="1"/>
      <c r="E4" s="14" t="s">
        <v>5</v>
      </c>
      <c r="F4" s="13" t="s">
        <v>12</v>
      </c>
      <c r="G4" s="1"/>
      <c r="H4" s="1"/>
      <c r="I4" s="14" t="s">
        <v>19</v>
      </c>
      <c r="J4" s="2" t="s">
        <v>28</v>
      </c>
      <c r="K4" s="50">
        <v>0.12</v>
      </c>
      <c r="L4" s="1"/>
      <c r="M4" s="14" t="s">
        <v>43</v>
      </c>
      <c r="N4" s="50">
        <f>MAX(K13:K19)</f>
        <v>1900</v>
      </c>
      <c r="O4" s="1"/>
      <c r="P4" s="21"/>
      <c r="Q4" s="1"/>
      <c r="R4" s="1"/>
      <c r="S4" s="1"/>
      <c r="T4" s="14">
        <v>0</v>
      </c>
      <c r="U4" s="138">
        <v>0</v>
      </c>
      <c r="V4" s="94"/>
      <c r="W4" s="14">
        <v>2</v>
      </c>
      <c r="X4" s="2" t="s">
        <v>51</v>
      </c>
      <c r="Y4" s="2">
        <v>1200</v>
      </c>
      <c r="Z4" s="2">
        <v>6</v>
      </c>
      <c r="AA4" s="26">
        <v>65</v>
      </c>
      <c r="AB4" s="1"/>
      <c r="AC4" s="1"/>
      <c r="AD4" s="1"/>
      <c r="AE4" s="14" t="s">
        <v>5</v>
      </c>
      <c r="AF4" s="3" t="s">
        <v>62</v>
      </c>
      <c r="AG4" s="25">
        <v>210.35</v>
      </c>
      <c r="AH4" s="92"/>
      <c r="AI4" s="90"/>
      <c r="AJ4" s="90"/>
      <c r="AK4" s="90"/>
      <c r="AL4" s="90"/>
      <c r="AM4" s="89"/>
      <c r="AN4" s="1"/>
      <c r="AO4" s="1"/>
      <c r="AP4" s="1"/>
    </row>
    <row r="5" spans="1:42" ht="15.75" thickBot="1" x14ac:dyDescent="0.3">
      <c r="A5" s="1"/>
      <c r="B5" s="5"/>
      <c r="C5" s="1"/>
      <c r="D5" s="1"/>
      <c r="E5" s="14" t="s">
        <v>6</v>
      </c>
      <c r="F5" s="13" t="s">
        <v>13</v>
      </c>
      <c r="G5" s="1"/>
      <c r="H5" s="1"/>
      <c r="I5" s="14" t="s">
        <v>20</v>
      </c>
      <c r="J5" s="2" t="s">
        <v>29</v>
      </c>
      <c r="K5" s="50">
        <v>0.06</v>
      </c>
      <c r="L5" s="1"/>
      <c r="M5" s="16" t="s">
        <v>44</v>
      </c>
      <c r="N5" s="52">
        <f>MIN(K13:K19)</f>
        <v>150</v>
      </c>
      <c r="O5" s="1"/>
      <c r="P5" s="21"/>
      <c r="Q5" s="1"/>
      <c r="R5" s="1"/>
      <c r="S5" s="1"/>
      <c r="T5" s="14">
        <v>5</v>
      </c>
      <c r="U5" s="138">
        <v>0.1</v>
      </c>
      <c r="V5" s="94"/>
      <c r="W5" s="14">
        <v>3</v>
      </c>
      <c r="X5" s="2" t="s">
        <v>52</v>
      </c>
      <c r="Y5" s="2">
        <v>1100</v>
      </c>
      <c r="Z5" s="2">
        <v>12</v>
      </c>
      <c r="AA5" s="26">
        <v>0</v>
      </c>
      <c r="AB5" s="1"/>
      <c r="AC5" s="1"/>
      <c r="AD5" s="1"/>
      <c r="AE5" s="14" t="s">
        <v>6</v>
      </c>
      <c r="AF5" s="3" t="s">
        <v>63</v>
      </c>
      <c r="AG5" s="25">
        <v>168.28</v>
      </c>
      <c r="AH5" s="92"/>
      <c r="AI5" s="103" t="s">
        <v>66</v>
      </c>
      <c r="AJ5" s="104"/>
      <c r="AK5" s="104"/>
      <c r="AL5" s="104"/>
      <c r="AM5" s="105"/>
      <c r="AN5" s="1"/>
      <c r="AO5" s="1"/>
      <c r="AP5" s="1"/>
    </row>
    <row r="6" spans="1:42" x14ac:dyDescent="0.25">
      <c r="A6" s="1"/>
      <c r="B6" s="5"/>
      <c r="C6" s="1"/>
      <c r="D6" s="1"/>
      <c r="E6" s="14" t="s">
        <v>7</v>
      </c>
      <c r="F6" s="13" t="s">
        <v>14</v>
      </c>
      <c r="G6" s="1"/>
      <c r="H6" s="1"/>
      <c r="I6" s="14" t="s">
        <v>21</v>
      </c>
      <c r="J6" s="2" t="s">
        <v>30</v>
      </c>
      <c r="K6" s="50">
        <v>0.48</v>
      </c>
      <c r="L6" s="1"/>
      <c r="M6" s="1"/>
      <c r="N6" s="1"/>
      <c r="O6" s="1"/>
      <c r="P6" s="21"/>
      <c r="Q6" s="1"/>
      <c r="R6" s="1"/>
      <c r="S6" s="1"/>
      <c r="T6" s="14">
        <v>10</v>
      </c>
      <c r="U6" s="138">
        <v>0.2</v>
      </c>
      <c r="V6" s="94"/>
      <c r="W6" s="14">
        <v>4</v>
      </c>
      <c r="X6" s="2" t="s">
        <v>53</v>
      </c>
      <c r="Y6" s="2">
        <v>1200</v>
      </c>
      <c r="Z6" s="2">
        <v>25</v>
      </c>
      <c r="AA6" s="26">
        <v>125</v>
      </c>
      <c r="AB6" s="1"/>
      <c r="AC6" s="1"/>
      <c r="AD6" s="1"/>
      <c r="AE6" s="14" t="s">
        <v>7</v>
      </c>
      <c r="AF6" s="3" t="s">
        <v>14</v>
      </c>
      <c r="AG6" s="25">
        <v>90.15</v>
      </c>
      <c r="AH6" s="92"/>
      <c r="AI6" s="106"/>
      <c r="AJ6" s="107"/>
      <c r="AK6" s="107"/>
      <c r="AL6" s="107"/>
      <c r="AM6" s="108"/>
      <c r="AN6" s="1"/>
      <c r="AO6" s="1"/>
      <c r="AP6" s="1"/>
    </row>
    <row r="7" spans="1:42" ht="15.75" thickBot="1" x14ac:dyDescent="0.3">
      <c r="A7" s="1"/>
      <c r="B7" s="5"/>
      <c r="C7" s="1"/>
      <c r="D7" s="1"/>
      <c r="E7" s="14" t="s">
        <v>8</v>
      </c>
      <c r="F7" s="13" t="s">
        <v>15</v>
      </c>
      <c r="G7" s="1"/>
      <c r="H7" s="1"/>
      <c r="I7" s="14" t="s">
        <v>22</v>
      </c>
      <c r="J7" s="2" t="s">
        <v>31</v>
      </c>
      <c r="K7" s="50">
        <v>0.42</v>
      </c>
      <c r="L7" s="1"/>
      <c r="M7" s="1"/>
      <c r="N7" s="1"/>
      <c r="O7" s="1"/>
      <c r="P7" s="21"/>
      <c r="Q7" s="1"/>
      <c r="R7" s="1"/>
      <c r="S7" s="1"/>
      <c r="T7" s="14">
        <v>15</v>
      </c>
      <c r="U7" s="138">
        <v>0.3</v>
      </c>
      <c r="V7" s="94"/>
      <c r="W7" s="14">
        <v>5</v>
      </c>
      <c r="X7" s="2" t="s">
        <v>54</v>
      </c>
      <c r="Y7" s="2">
        <v>1000</v>
      </c>
      <c r="Z7" s="2">
        <v>20</v>
      </c>
      <c r="AA7" s="26">
        <v>65</v>
      </c>
      <c r="AB7" s="1"/>
      <c r="AC7" s="1"/>
      <c r="AD7" s="1"/>
      <c r="AE7" s="14" t="s">
        <v>8</v>
      </c>
      <c r="AF7" s="3" t="s">
        <v>15</v>
      </c>
      <c r="AG7" s="25">
        <v>30.05</v>
      </c>
      <c r="AH7" s="92"/>
      <c r="AI7" s="109"/>
      <c r="AJ7" s="110"/>
      <c r="AK7" s="110"/>
      <c r="AL7" s="110"/>
      <c r="AM7" s="111"/>
      <c r="AN7" s="1"/>
      <c r="AO7" s="1"/>
      <c r="AP7" s="1"/>
    </row>
    <row r="8" spans="1:42" ht="15.75" thickBot="1" x14ac:dyDescent="0.3">
      <c r="A8" s="1"/>
      <c r="B8" s="5"/>
      <c r="C8" s="1"/>
      <c r="D8" s="1"/>
      <c r="E8" s="14" t="s">
        <v>9</v>
      </c>
      <c r="F8" s="13" t="s">
        <v>16</v>
      </c>
      <c r="G8" s="1"/>
      <c r="H8" s="1"/>
      <c r="I8" s="14" t="s">
        <v>23</v>
      </c>
      <c r="J8" s="2" t="s">
        <v>32</v>
      </c>
      <c r="K8" s="50">
        <v>0.3</v>
      </c>
      <c r="L8" s="1"/>
      <c r="M8" s="1"/>
      <c r="N8" s="1"/>
      <c r="O8" s="1"/>
      <c r="P8" s="21"/>
      <c r="Q8" s="1"/>
      <c r="R8" s="1"/>
      <c r="S8" s="1"/>
      <c r="T8" s="14">
        <v>20</v>
      </c>
      <c r="U8" s="138">
        <v>0.35</v>
      </c>
      <c r="V8" s="94"/>
      <c r="W8" s="16">
        <v>6</v>
      </c>
      <c r="X8" s="17" t="s">
        <v>55</v>
      </c>
      <c r="Y8" s="17">
        <v>1300</v>
      </c>
      <c r="Z8" s="17">
        <v>35</v>
      </c>
      <c r="AA8" s="36">
        <v>0</v>
      </c>
      <c r="AB8" s="1"/>
      <c r="AC8" s="1"/>
      <c r="AD8" s="1"/>
      <c r="AE8" s="14" t="s">
        <v>9</v>
      </c>
      <c r="AF8" s="3" t="s">
        <v>16</v>
      </c>
      <c r="AG8" s="25">
        <v>24.04</v>
      </c>
      <c r="AH8" s="92"/>
      <c r="AI8" s="90"/>
      <c r="AJ8" s="90"/>
      <c r="AK8" s="90"/>
      <c r="AL8" s="90"/>
      <c r="AM8" s="93"/>
      <c r="AN8" s="1"/>
      <c r="AO8" s="1"/>
      <c r="AP8" s="1"/>
    </row>
    <row r="9" spans="1:42" ht="15.75" thickBot="1" x14ac:dyDescent="0.3">
      <c r="A9" s="1"/>
      <c r="B9" s="5"/>
      <c r="C9" s="1"/>
      <c r="D9" s="1"/>
      <c r="E9" s="16" t="s">
        <v>10</v>
      </c>
      <c r="F9" s="144" t="s">
        <v>17</v>
      </c>
      <c r="G9" s="1"/>
      <c r="H9" s="1"/>
      <c r="I9" s="16" t="s">
        <v>24</v>
      </c>
      <c r="J9" s="17" t="s">
        <v>33</v>
      </c>
      <c r="K9" s="52">
        <v>0.27</v>
      </c>
      <c r="L9" s="1"/>
      <c r="M9" s="1"/>
      <c r="N9" s="1"/>
      <c r="O9" s="1"/>
      <c r="P9" s="21"/>
      <c r="Q9" s="1"/>
      <c r="R9" s="1"/>
      <c r="S9" s="1"/>
      <c r="T9" s="16">
        <v>25</v>
      </c>
      <c r="U9" s="139">
        <v>0.5</v>
      </c>
      <c r="V9" s="94"/>
      <c r="W9" s="135"/>
      <c r="X9" s="135"/>
      <c r="Y9" s="135"/>
      <c r="Z9" s="135"/>
      <c r="AA9" s="88"/>
      <c r="AB9" s="1"/>
      <c r="AC9" s="1"/>
      <c r="AD9" s="1"/>
      <c r="AE9" s="14" t="s">
        <v>10</v>
      </c>
      <c r="AF9" s="3" t="s">
        <v>17</v>
      </c>
      <c r="AG9" s="25">
        <v>480.81</v>
      </c>
      <c r="AH9" s="92"/>
      <c r="AI9" s="9" t="s">
        <v>0</v>
      </c>
      <c r="AJ9" s="10" t="s">
        <v>1</v>
      </c>
      <c r="AK9" s="10" t="s">
        <v>67</v>
      </c>
      <c r="AL9" s="10" t="s">
        <v>68</v>
      </c>
      <c r="AM9" s="11" t="s">
        <v>69</v>
      </c>
      <c r="AN9" s="1"/>
      <c r="AO9" s="1"/>
      <c r="AP9" s="1"/>
    </row>
    <row r="10" spans="1:42" ht="15.75" thickBot="1" x14ac:dyDescent="0.3">
      <c r="A10" s="1"/>
      <c r="B10" s="6"/>
      <c r="C10" s="7"/>
      <c r="D10" s="7"/>
      <c r="E10" s="7"/>
      <c r="F10" s="22"/>
      <c r="G10" s="1"/>
      <c r="H10" s="1"/>
      <c r="I10" s="5"/>
      <c r="J10" s="1"/>
      <c r="K10" s="1"/>
      <c r="L10" s="1"/>
      <c r="M10" s="1"/>
      <c r="N10" s="1"/>
      <c r="O10" s="1"/>
      <c r="P10" s="21"/>
      <c r="Q10" s="1"/>
      <c r="R10" s="1"/>
      <c r="S10" s="1"/>
      <c r="T10" s="92"/>
      <c r="U10" s="135"/>
      <c r="V10" s="94"/>
      <c r="W10" s="94"/>
      <c r="X10" s="94"/>
      <c r="Y10" s="94"/>
      <c r="Z10" s="94"/>
      <c r="AA10" s="88"/>
      <c r="AB10" s="1"/>
      <c r="AC10" s="1"/>
      <c r="AD10" s="1"/>
      <c r="AE10" s="16" t="s">
        <v>75</v>
      </c>
      <c r="AF10" s="31" t="s">
        <v>74</v>
      </c>
      <c r="AG10" s="32">
        <v>18</v>
      </c>
      <c r="AH10" s="92"/>
      <c r="AI10" s="14" t="s">
        <v>5</v>
      </c>
      <c r="AJ10" s="2" t="str">
        <f>IFERROR(VLOOKUP(AI10,$AE$3:$AG$10,2,FALSE),"")</f>
        <v>Disco Duro</v>
      </c>
      <c r="AK10" s="2">
        <v>3</v>
      </c>
      <c r="AL10" s="35">
        <f>IFERROR(VLOOKUP(AI10,$AE$3:$AG$10,3,FALSE),"")</f>
        <v>210.35</v>
      </c>
      <c r="AM10" s="26">
        <f>IFERROR(AL10*AK10,"")</f>
        <v>631.04999999999995</v>
      </c>
      <c r="AN10" s="1"/>
      <c r="AO10" s="1"/>
      <c r="AP10" s="1"/>
    </row>
    <row r="11" spans="1:42" ht="15.75" thickBot="1" x14ac:dyDescent="0.3">
      <c r="A11" s="1"/>
      <c r="B11" s="1"/>
      <c r="C11" s="1"/>
      <c r="D11" s="1"/>
      <c r="E11" s="1"/>
      <c r="F11" s="1"/>
      <c r="G11" s="1"/>
      <c r="H11" s="1"/>
      <c r="I11" s="5"/>
      <c r="J11" s="1"/>
      <c r="K11" s="1"/>
      <c r="L11" s="1"/>
      <c r="M11" s="1"/>
      <c r="N11" s="1"/>
      <c r="O11" s="1"/>
      <c r="P11" s="21"/>
      <c r="Q11" s="1"/>
      <c r="R11" s="1"/>
      <c r="S11" s="1"/>
      <c r="T11" s="92"/>
      <c r="U11" s="135"/>
      <c r="V11" s="4" t="s">
        <v>60</v>
      </c>
      <c r="W11" s="94"/>
      <c r="X11" s="94"/>
      <c r="Y11" s="88"/>
      <c r="Z11" s="133" t="s">
        <v>60</v>
      </c>
      <c r="AA11" s="141" t="s">
        <v>57</v>
      </c>
      <c r="AB11" s="1"/>
      <c r="AC11" s="1"/>
      <c r="AD11" s="1"/>
      <c r="AE11" s="92"/>
      <c r="AF11" s="94"/>
      <c r="AG11" s="94"/>
      <c r="AH11" s="94"/>
      <c r="AI11" s="14" t="s">
        <v>9</v>
      </c>
      <c r="AJ11" s="2" t="str">
        <f t="shared" ref="AJ11:AJ18" si="0">IFERROR(VLOOKUP(AI11,$AE$3:$AG$10,2,FALSE),"")</f>
        <v>Ratón</v>
      </c>
      <c r="AK11" s="2">
        <v>3</v>
      </c>
      <c r="AL11" s="35">
        <f t="shared" ref="AL11:AL18" si="1">IFERROR(VLOOKUP(AI11,$AE$3:$AG$10,3,FALSE),"")</f>
        <v>24.04</v>
      </c>
      <c r="AM11" s="26">
        <f t="shared" ref="AM11:AM18" si="2">IFERROR(AL11*AK11,"")</f>
        <v>72.12</v>
      </c>
      <c r="AN11" s="1"/>
      <c r="AO11" s="1"/>
      <c r="AP11" s="1"/>
    </row>
    <row r="12" spans="1:42" ht="15.75" thickBot="1" x14ac:dyDescent="0.3">
      <c r="A12" s="1"/>
      <c r="B12" s="1"/>
      <c r="C12" s="1"/>
      <c r="D12" s="1"/>
      <c r="E12" s="1"/>
      <c r="F12" s="1"/>
      <c r="G12" s="1"/>
      <c r="H12" s="1"/>
      <c r="I12" s="9" t="s">
        <v>0</v>
      </c>
      <c r="J12" s="10" t="s">
        <v>34</v>
      </c>
      <c r="K12" s="10" t="s">
        <v>35</v>
      </c>
      <c r="L12" s="10" t="s">
        <v>36</v>
      </c>
      <c r="M12" s="10" t="s">
        <v>37</v>
      </c>
      <c r="N12" s="10" t="s">
        <v>38</v>
      </c>
      <c r="O12" s="10" t="s">
        <v>39</v>
      </c>
      <c r="P12" s="127" t="s">
        <v>40</v>
      </c>
      <c r="Q12" s="1"/>
      <c r="R12" s="1"/>
      <c r="S12" s="1"/>
      <c r="T12" s="9" t="s">
        <v>59</v>
      </c>
      <c r="U12" s="33">
        <v>4</v>
      </c>
      <c r="V12" s="122" t="str">
        <f>VLOOKUP(U12, $W$3:$AA$8, 2, FALSE)</f>
        <v>Mivo</v>
      </c>
      <c r="W12" s="94"/>
      <c r="X12" s="9" t="s">
        <v>59</v>
      </c>
      <c r="Y12" s="142">
        <v>4</v>
      </c>
      <c r="Z12" s="142" t="str">
        <f>VLOOKUP(Y12, $W$3:$AA$8, 2, FALSE)</f>
        <v>Mivo</v>
      </c>
      <c r="AA12" s="143">
        <f>VLOOKUP(Y12,$W$3:$AA$8,3,FALSE)*VLOOKUP(VLOOKUP(Y12,$W$3:$AA$8,4,FALSE),$T$4:$U$9,2,TRUE)</f>
        <v>600</v>
      </c>
      <c r="AB12" s="1"/>
      <c r="AC12" s="1"/>
      <c r="AD12" s="1"/>
      <c r="AE12" s="92"/>
      <c r="AF12" s="94"/>
      <c r="AG12" s="94"/>
      <c r="AH12" s="94"/>
      <c r="AI12" s="14" t="s">
        <v>6</v>
      </c>
      <c r="AJ12" s="2" t="str">
        <f t="shared" si="0"/>
        <v>CD ROM</v>
      </c>
      <c r="AK12" s="2">
        <v>2</v>
      </c>
      <c r="AL12" s="35">
        <f t="shared" si="1"/>
        <v>168.28</v>
      </c>
      <c r="AM12" s="26">
        <f t="shared" si="2"/>
        <v>336.56</v>
      </c>
      <c r="AN12" s="1"/>
      <c r="AO12" s="1"/>
      <c r="AP12" s="1"/>
    </row>
    <row r="13" spans="1:42" ht="15.75" thickBot="1" x14ac:dyDescent="0.3">
      <c r="A13" s="1"/>
      <c r="B13" s="1"/>
      <c r="C13" s="1"/>
      <c r="D13" s="1"/>
      <c r="E13" s="1"/>
      <c r="F13" s="1"/>
      <c r="G13" s="1"/>
      <c r="H13" s="1"/>
      <c r="I13" s="14" t="s">
        <v>18</v>
      </c>
      <c r="J13" s="2" t="str">
        <f>VLOOKUP(I13,I3:K9,2,)</f>
        <v>ASAS</v>
      </c>
      <c r="K13" s="2">
        <v>200</v>
      </c>
      <c r="L13" s="8">
        <f t="shared" ref="L13:L19" si="3">K13 * VLOOKUP(I13, $I$3:$K$9, 3, FALSE)</f>
        <v>60</v>
      </c>
      <c r="M13" s="8">
        <f>L13 * 0.02</f>
        <v>1.2</v>
      </c>
      <c r="N13" s="8">
        <f>L13 - M13</f>
        <v>58.8</v>
      </c>
      <c r="O13" s="8">
        <f>N13 * 0.21</f>
        <v>12.347999999999999</v>
      </c>
      <c r="P13" s="15">
        <f>N13 + O13</f>
        <v>71.147999999999996</v>
      </c>
      <c r="Q13" s="1"/>
      <c r="R13" s="1"/>
      <c r="S13" s="1"/>
      <c r="T13" s="23" t="s">
        <v>61</v>
      </c>
      <c r="U13" s="113">
        <f>VLOOKUP(U12,$W$3:$AA$8,3,FALSE)+(VLOOKUP(U12,$W$3:$AA$8,3,FALSE)*VLOOKUP(VLOOKUP(U12,$W$3:$AA$8,4,FALSE),$T$4:$U$9,2,TRUE))+VLOOKUP(U12,$W$3:$AA$8,5,FALSE)</f>
        <v>1925</v>
      </c>
      <c r="V13" s="140"/>
      <c r="W13" s="95"/>
      <c r="X13" s="24" t="s">
        <v>61</v>
      </c>
      <c r="Y13" s="114">
        <f>VLOOKUP(Y12,$W$3:$AA$8,3)+VLOOKUP(Y12,$W$3:$AA$8,5,FALSE)+AA12</f>
        <v>1925</v>
      </c>
      <c r="Z13" s="115"/>
      <c r="AA13" s="116"/>
      <c r="AB13" s="1"/>
      <c r="AC13" s="1"/>
      <c r="AD13" s="1"/>
      <c r="AE13" s="92"/>
      <c r="AF13" s="94"/>
      <c r="AG13" s="94"/>
      <c r="AH13" s="94"/>
      <c r="AI13" s="14" t="s">
        <v>75</v>
      </c>
      <c r="AJ13" s="2" t="str">
        <f t="shared" si="0"/>
        <v>Caja de Sidra Trabanco</v>
      </c>
      <c r="AK13" s="2">
        <v>1</v>
      </c>
      <c r="AL13" s="35">
        <f t="shared" si="1"/>
        <v>18</v>
      </c>
      <c r="AM13" s="26">
        <f t="shared" si="2"/>
        <v>18</v>
      </c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4" t="s">
        <v>19</v>
      </c>
      <c r="J14" s="2" t="str">
        <f t="shared" ref="J14:J19" si="4">VLOOKUP(I14,I4:K10,2,)</f>
        <v>REFUERZOS</v>
      </c>
      <c r="K14" s="2">
        <v>200</v>
      </c>
      <c r="L14" s="8">
        <f t="shared" si="3"/>
        <v>24</v>
      </c>
      <c r="M14" s="8">
        <f t="shared" ref="M14:M19" si="5">L14 * 0.02</f>
        <v>0.48</v>
      </c>
      <c r="N14" s="8">
        <f t="shared" ref="N14:N19" si="6">L14 - M14</f>
        <v>23.52</v>
      </c>
      <c r="O14" s="8">
        <f t="shared" ref="O14:O19" si="7">N14 * 0.21</f>
        <v>4.9391999999999996</v>
      </c>
      <c r="P14" s="15">
        <f t="shared" ref="P14:P19" si="8">N14 + O14</f>
        <v>28.459199999999999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92"/>
      <c r="AF14" s="94"/>
      <c r="AG14" s="94"/>
      <c r="AH14" s="94"/>
      <c r="AI14" s="14"/>
      <c r="AJ14" s="2" t="str">
        <f t="shared" si="0"/>
        <v/>
      </c>
      <c r="AK14" s="2"/>
      <c r="AL14" s="35" t="str">
        <f t="shared" si="1"/>
        <v/>
      </c>
      <c r="AM14" s="26" t="str">
        <f t="shared" si="2"/>
        <v/>
      </c>
      <c r="AN14" s="1"/>
      <c r="AO14" s="1"/>
      <c r="AP14" s="1"/>
    </row>
    <row r="15" spans="1:42" x14ac:dyDescent="0.25">
      <c r="A15" s="1"/>
      <c r="B15" s="1"/>
      <c r="C15" s="1"/>
      <c r="D15" s="1"/>
      <c r="E15" s="1"/>
      <c r="F15" s="1"/>
      <c r="G15" s="1"/>
      <c r="H15" s="1"/>
      <c r="I15" s="14" t="s">
        <v>20</v>
      </c>
      <c r="J15" s="2" t="str">
        <f t="shared" si="4"/>
        <v>CORDONES</v>
      </c>
      <c r="K15" s="2">
        <v>1900</v>
      </c>
      <c r="L15" s="8">
        <f t="shared" si="3"/>
        <v>114</v>
      </c>
      <c r="M15" s="8">
        <f t="shared" si="5"/>
        <v>2.2800000000000002</v>
      </c>
      <c r="N15" s="8">
        <f t="shared" si="6"/>
        <v>111.72</v>
      </c>
      <c r="O15" s="8">
        <f t="shared" si="7"/>
        <v>23.461199999999998</v>
      </c>
      <c r="P15" s="15">
        <f t="shared" si="8"/>
        <v>135.18119999999999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92"/>
      <c r="AF15" s="94"/>
      <c r="AG15" s="94"/>
      <c r="AH15" s="94"/>
      <c r="AI15" s="14"/>
      <c r="AJ15" s="2" t="str">
        <f t="shared" si="0"/>
        <v/>
      </c>
      <c r="AK15" s="2"/>
      <c r="AL15" s="35" t="str">
        <f t="shared" si="1"/>
        <v/>
      </c>
      <c r="AM15" s="26" t="str">
        <f t="shared" si="2"/>
        <v/>
      </c>
      <c r="AN15" s="1"/>
      <c r="AO15" s="1"/>
      <c r="AP15" s="1"/>
    </row>
    <row r="16" spans="1:42" x14ac:dyDescent="0.25">
      <c r="A16" s="1"/>
      <c r="B16" s="1"/>
      <c r="C16" s="1"/>
      <c r="D16" s="1"/>
      <c r="E16" s="1"/>
      <c r="F16" s="1"/>
      <c r="G16" s="1"/>
      <c r="H16" s="1"/>
      <c r="I16" s="14" t="s">
        <v>21</v>
      </c>
      <c r="J16" s="2" t="str">
        <f t="shared" si="4"/>
        <v>BOLSAS</v>
      </c>
      <c r="K16" s="2">
        <v>800</v>
      </c>
      <c r="L16" s="8">
        <f t="shared" si="3"/>
        <v>384</v>
      </c>
      <c r="M16" s="8">
        <f t="shared" si="5"/>
        <v>7.68</v>
      </c>
      <c r="N16" s="8">
        <f t="shared" si="6"/>
        <v>376.32</v>
      </c>
      <c r="O16" s="8">
        <f t="shared" si="7"/>
        <v>79.027199999999993</v>
      </c>
      <c r="P16" s="15">
        <f t="shared" si="8"/>
        <v>455.34719999999999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92"/>
      <c r="AF16" s="94"/>
      <c r="AG16" s="94"/>
      <c r="AH16" s="94"/>
      <c r="AI16" s="14"/>
      <c r="AJ16" s="2" t="str">
        <f t="shared" si="0"/>
        <v/>
      </c>
      <c r="AK16" s="2"/>
      <c r="AL16" s="35" t="str">
        <f t="shared" si="1"/>
        <v/>
      </c>
      <c r="AM16" s="26" t="str">
        <f t="shared" si="2"/>
        <v/>
      </c>
      <c r="AN16" s="1"/>
      <c r="AO16" s="1"/>
      <c r="AP16" s="1"/>
    </row>
    <row r="17" spans="1:42" x14ac:dyDescent="0.25">
      <c r="A17" s="1"/>
      <c r="B17" s="1"/>
      <c r="C17" s="1"/>
      <c r="D17" s="1"/>
      <c r="E17" s="1"/>
      <c r="F17" s="1"/>
      <c r="G17" s="1"/>
      <c r="H17" s="1"/>
      <c r="I17" s="14" t="s">
        <v>22</v>
      </c>
      <c r="J17" s="2" t="str">
        <f t="shared" si="4"/>
        <v>TAPAS</v>
      </c>
      <c r="K17" s="2">
        <v>150</v>
      </c>
      <c r="L17" s="8">
        <f t="shared" si="3"/>
        <v>63</v>
      </c>
      <c r="M17" s="8">
        <f t="shared" si="5"/>
        <v>1.26</v>
      </c>
      <c r="N17" s="8">
        <f t="shared" si="6"/>
        <v>61.74</v>
      </c>
      <c r="O17" s="8">
        <f t="shared" si="7"/>
        <v>12.965400000000001</v>
      </c>
      <c r="P17" s="15">
        <f t="shared" si="8"/>
        <v>74.705399999999997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92"/>
      <c r="AF17" s="94"/>
      <c r="AG17" s="94"/>
      <c r="AH17" s="94"/>
      <c r="AI17" s="14"/>
      <c r="AJ17" s="2" t="str">
        <f t="shared" si="0"/>
        <v/>
      </c>
      <c r="AK17" s="2"/>
      <c r="AL17" s="35" t="str">
        <f t="shared" si="1"/>
        <v/>
      </c>
      <c r="AM17" s="26" t="str">
        <f t="shared" si="2"/>
        <v/>
      </c>
      <c r="AN17" s="1"/>
      <c r="AO17" s="1"/>
      <c r="AP17" s="1"/>
    </row>
    <row r="18" spans="1:42" ht="15.75" thickBot="1" x14ac:dyDescent="0.3">
      <c r="A18" s="1"/>
      <c r="B18" s="1"/>
      <c r="C18" s="1"/>
      <c r="D18" s="1"/>
      <c r="E18" s="1"/>
      <c r="F18" s="1"/>
      <c r="G18" s="1"/>
      <c r="H18" s="1"/>
      <c r="I18" s="14" t="s">
        <v>23</v>
      </c>
      <c r="J18" s="2" t="str">
        <f t="shared" si="4"/>
        <v>EMBALAJES</v>
      </c>
      <c r="K18" s="2">
        <v>150</v>
      </c>
      <c r="L18" s="8">
        <f t="shared" si="3"/>
        <v>45</v>
      </c>
      <c r="M18" s="8">
        <f t="shared" si="5"/>
        <v>0.9</v>
      </c>
      <c r="N18" s="8">
        <f t="shared" si="6"/>
        <v>44.1</v>
      </c>
      <c r="O18" s="8">
        <f t="shared" si="7"/>
        <v>9.2609999999999992</v>
      </c>
      <c r="P18" s="15">
        <f t="shared" si="8"/>
        <v>53.361000000000004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92"/>
      <c r="AF18" s="94"/>
      <c r="AG18" s="94"/>
      <c r="AH18" s="94"/>
      <c r="AI18" s="16"/>
      <c r="AJ18" s="17" t="str">
        <f t="shared" si="0"/>
        <v/>
      </c>
      <c r="AK18" s="17"/>
      <c r="AL18" s="35" t="str">
        <f t="shared" si="1"/>
        <v/>
      </c>
      <c r="AM18" s="36" t="str">
        <f t="shared" si="2"/>
        <v/>
      </c>
      <c r="AN18" s="1"/>
      <c r="AO18" s="1"/>
      <c r="AP18" s="1"/>
    </row>
    <row r="19" spans="1:42" ht="15.75" thickBot="1" x14ac:dyDescent="0.3">
      <c r="A19" s="1"/>
      <c r="B19" s="1"/>
      <c r="C19" s="1"/>
      <c r="D19" s="1"/>
      <c r="E19" s="1"/>
      <c r="F19" s="1"/>
      <c r="G19" s="1"/>
      <c r="H19" s="1"/>
      <c r="I19" s="16" t="s">
        <v>24</v>
      </c>
      <c r="J19" s="17" t="str">
        <f t="shared" si="4"/>
        <v>FONDOS</v>
      </c>
      <c r="K19" s="17">
        <v>500</v>
      </c>
      <c r="L19" s="18">
        <f t="shared" si="3"/>
        <v>135</v>
      </c>
      <c r="M19" s="18">
        <f t="shared" si="5"/>
        <v>2.7</v>
      </c>
      <c r="N19" s="18">
        <f t="shared" si="6"/>
        <v>132.30000000000001</v>
      </c>
      <c r="O19" s="18">
        <f t="shared" si="7"/>
        <v>27.783000000000001</v>
      </c>
      <c r="P19" s="19">
        <f t="shared" si="8"/>
        <v>160.08300000000003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92"/>
      <c r="AF19" s="94"/>
      <c r="AG19" s="94"/>
      <c r="AH19" s="94"/>
      <c r="AI19" s="96"/>
      <c r="AJ19" s="87"/>
      <c r="AK19" s="118" t="s">
        <v>70</v>
      </c>
      <c r="AL19" s="119"/>
      <c r="AM19" s="37">
        <f>SUM(AM10:AM18)</f>
        <v>1057.73</v>
      </c>
      <c r="AN19" s="1"/>
      <c r="AO19" s="1"/>
      <c r="AP19" s="1"/>
    </row>
    <row r="20" spans="1:4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92"/>
      <c r="AF20" s="94"/>
      <c r="AG20" s="94"/>
      <c r="AH20" s="94"/>
      <c r="AI20" s="94"/>
      <c r="AJ20" s="88"/>
      <c r="AK20" s="118" t="s">
        <v>72</v>
      </c>
      <c r="AL20" s="119"/>
      <c r="AM20" s="38">
        <f>0.21*AM19</f>
        <v>222.1233</v>
      </c>
      <c r="AN20" s="1"/>
      <c r="AO20" s="1"/>
      <c r="AP20" s="1"/>
    </row>
    <row r="21" spans="1:42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17"/>
      <c r="AF21" s="95"/>
      <c r="AG21" s="95"/>
      <c r="AH21" s="95"/>
      <c r="AI21" s="95"/>
      <c r="AJ21" s="89"/>
      <c r="AK21" s="120" t="s">
        <v>71</v>
      </c>
      <c r="AL21" s="121"/>
      <c r="AM21" s="39">
        <f>AM19+AM20</f>
        <v>1279.8533</v>
      </c>
      <c r="AN21" s="1"/>
      <c r="AO21" s="1"/>
      <c r="AP21" s="1"/>
    </row>
    <row r="22" spans="1:4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</sheetData>
  <mergeCells count="25">
    <mergeCell ref="AI19:AJ21"/>
    <mergeCell ref="AK20:AL20"/>
    <mergeCell ref="AK19:AL19"/>
    <mergeCell ref="AK21:AL21"/>
    <mergeCell ref="U13:V13"/>
    <mergeCell ref="Y13:AA13"/>
    <mergeCell ref="X11:Y11"/>
    <mergeCell ref="X9:AA10"/>
    <mergeCell ref="AE11:AH21"/>
    <mergeCell ref="I1:P1"/>
    <mergeCell ref="B1:F1"/>
    <mergeCell ref="T1:AA1"/>
    <mergeCell ref="AE1:AM1"/>
    <mergeCell ref="AM2:AM4"/>
    <mergeCell ref="AI4:AL4"/>
    <mergeCell ref="M2:N2"/>
    <mergeCell ref="AH2:AH10"/>
    <mergeCell ref="AI8:AM8"/>
    <mergeCell ref="W9:W13"/>
    <mergeCell ref="T10:U11"/>
    <mergeCell ref="V2:V10"/>
    <mergeCell ref="AJ2:AL2"/>
    <mergeCell ref="AJ3:AL3"/>
    <mergeCell ref="AI5:AM7"/>
    <mergeCell ref="T2:U2"/>
  </mergeCells>
  <phoneticPr fontId="5" type="noConversion"/>
  <dataValidations count="4">
    <dataValidation type="list" allowBlank="1" showInputMessage="1" showErrorMessage="1" sqref="C2" xr:uid="{42E21DD1-3635-43DE-BC30-8F37D6B6EE99}">
      <formula1>$E$3:$E$9</formula1>
    </dataValidation>
    <dataValidation type="list" allowBlank="1" showInputMessage="1" showErrorMessage="1" sqref="I13:I19" xr:uid="{8FA520AD-8BBF-4F4A-9B13-A5B3F0AD6015}">
      <formula1>$I$3:$I$9</formula1>
    </dataValidation>
    <dataValidation type="list" allowBlank="1" showInputMessage="1" showErrorMessage="1" sqref="U12 Y12" xr:uid="{6B720C54-1827-4121-9159-69B19F964704}">
      <formula1>$W$3:$W$8</formula1>
    </dataValidation>
    <dataValidation type="list" allowBlank="1" showInputMessage="1" showErrorMessage="1" sqref="AI10:AI18" xr:uid="{50051F46-281A-46A8-ABC8-C8A693B8D90A}">
      <formula1>$AE$3:$AE$10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2931-EBB2-4949-92FA-969EF35A7E18}">
  <dimension ref="A2:BG15"/>
  <sheetViews>
    <sheetView workbookViewId="0">
      <selection activeCell="AY3" sqref="AY3"/>
    </sheetView>
  </sheetViews>
  <sheetFormatPr baseColWidth="10" defaultRowHeight="15" x14ac:dyDescent="0.25"/>
  <cols>
    <col min="1" max="1" width="23.28515625" customWidth="1"/>
    <col min="2" max="2" width="13.5703125" customWidth="1"/>
    <col min="3" max="3" width="13" customWidth="1"/>
    <col min="4" max="4" width="13.85546875" customWidth="1"/>
    <col min="5" max="5" width="13.42578125" customWidth="1"/>
    <col min="6" max="7" width="12.42578125" customWidth="1"/>
    <col min="10" max="10" width="23.28515625" customWidth="1"/>
    <col min="11" max="11" width="23.85546875" customWidth="1"/>
    <col min="12" max="12" width="21.85546875" customWidth="1"/>
    <col min="13" max="13" width="22.42578125" customWidth="1"/>
    <col min="14" max="14" width="18.5703125" customWidth="1"/>
    <col min="15" max="15" width="14.5703125" customWidth="1"/>
    <col min="18" max="18" width="22.7109375" customWidth="1"/>
    <col min="19" max="19" width="18.28515625" customWidth="1"/>
    <col min="20" max="20" width="15.5703125" customWidth="1"/>
    <col min="21" max="21" width="14" customWidth="1"/>
    <col min="25" max="25" width="32" customWidth="1"/>
    <col min="26" max="26" width="9.42578125" customWidth="1"/>
    <col min="27" max="27" width="16" customWidth="1"/>
    <col min="28" max="28" width="13" customWidth="1"/>
    <col min="29" max="29" width="14.7109375" customWidth="1"/>
    <col min="30" max="30" width="14.5703125" customWidth="1"/>
    <col min="34" max="34" width="17.42578125" customWidth="1"/>
    <col min="35" max="35" width="15.28515625" customWidth="1"/>
    <col min="43" max="43" width="19.85546875" customWidth="1"/>
    <col min="44" max="44" width="13.5703125" customWidth="1"/>
    <col min="45" max="45" width="13.42578125" customWidth="1"/>
    <col min="46" max="46" width="7" customWidth="1"/>
    <col min="47" max="47" width="14.42578125" customWidth="1"/>
    <col min="48" max="48" width="12.7109375" customWidth="1"/>
    <col min="49" max="49" width="14.5703125" customWidth="1"/>
    <col min="53" max="53" width="22.5703125" customWidth="1"/>
    <col min="55" max="55" width="16.42578125" customWidth="1"/>
    <col min="56" max="56" width="15.42578125" customWidth="1"/>
    <col min="57" max="57" width="15.5703125" customWidth="1"/>
    <col min="59" max="59" width="13.5703125" customWidth="1"/>
  </cols>
  <sheetData>
    <row r="2" spans="1:59" ht="15.75" thickBot="1" x14ac:dyDescent="0.3"/>
    <row r="3" spans="1:59" ht="21.75" thickBot="1" x14ac:dyDescent="0.4">
      <c r="A3" s="46" t="s">
        <v>77</v>
      </c>
      <c r="B3" s="44" t="s">
        <v>80</v>
      </c>
      <c r="C3" s="44" t="s">
        <v>81</v>
      </c>
      <c r="D3" s="44" t="s">
        <v>82</v>
      </c>
      <c r="E3" s="44" t="s">
        <v>83</v>
      </c>
      <c r="F3" s="44" t="s">
        <v>84</v>
      </c>
      <c r="G3" s="45" t="s">
        <v>85</v>
      </c>
      <c r="J3" s="46" t="s">
        <v>76</v>
      </c>
      <c r="K3" s="44" t="s">
        <v>91</v>
      </c>
      <c r="L3" s="44" t="s">
        <v>92</v>
      </c>
      <c r="M3" s="44" t="s">
        <v>93</v>
      </c>
      <c r="N3" s="44" t="s">
        <v>94</v>
      </c>
      <c r="O3" s="45" t="s">
        <v>95</v>
      </c>
      <c r="R3" s="46" t="s">
        <v>78</v>
      </c>
      <c r="S3" s="44" t="s">
        <v>105</v>
      </c>
      <c r="T3" s="44" t="s">
        <v>113</v>
      </c>
      <c r="U3" s="45" t="s">
        <v>118</v>
      </c>
      <c r="Y3" s="46" t="s">
        <v>79</v>
      </c>
      <c r="Z3" s="44" t="s">
        <v>2</v>
      </c>
      <c r="AA3" s="44" t="s">
        <v>119</v>
      </c>
      <c r="AB3" s="44" t="s">
        <v>26</v>
      </c>
      <c r="AC3" s="44" t="s">
        <v>135</v>
      </c>
      <c r="AD3" s="45" t="s">
        <v>120</v>
      </c>
      <c r="AH3" s="67" t="s">
        <v>136</v>
      </c>
      <c r="AI3" s="68" t="s">
        <v>137</v>
      </c>
      <c r="AJ3" s="69">
        <v>60.1</v>
      </c>
      <c r="AK3" s="70"/>
      <c r="AL3" s="70"/>
      <c r="AM3" s="70"/>
      <c r="AN3" s="71"/>
      <c r="AQ3" s="46" t="s">
        <v>144</v>
      </c>
      <c r="AR3" s="44" t="s">
        <v>145</v>
      </c>
      <c r="AS3" s="44" t="s">
        <v>60</v>
      </c>
      <c r="AT3" s="44" t="s">
        <v>146</v>
      </c>
      <c r="AU3" s="44" t="s">
        <v>147</v>
      </c>
      <c r="AV3" s="44" t="s">
        <v>57</v>
      </c>
      <c r="AW3" s="45" t="s">
        <v>148</v>
      </c>
      <c r="BA3" s="46" t="s">
        <v>157</v>
      </c>
      <c r="BB3" s="128" t="s">
        <v>158</v>
      </c>
      <c r="BC3" s="44" t="s">
        <v>159</v>
      </c>
      <c r="BD3" s="44" t="s">
        <v>160</v>
      </c>
      <c r="BE3" s="44" t="s">
        <v>161</v>
      </c>
      <c r="BF3" s="44" t="s">
        <v>162</v>
      </c>
      <c r="BG3" s="71"/>
    </row>
    <row r="4" spans="1:59" ht="15.75" thickBot="1" x14ac:dyDescent="0.3">
      <c r="A4" s="5"/>
      <c r="B4" s="2" t="s">
        <v>86</v>
      </c>
      <c r="C4" s="53">
        <v>15500000</v>
      </c>
      <c r="D4" s="53">
        <v>1085000</v>
      </c>
      <c r="E4" s="53">
        <v>2480000</v>
      </c>
      <c r="F4" s="54">
        <f>D4/C4</f>
        <v>7.0000000000000007E-2</v>
      </c>
      <c r="G4" s="50" t="str">
        <f>IF(F4&lt;8%,"Disminuye","Aumenta")</f>
        <v>Disminuye</v>
      </c>
      <c r="J4" s="5"/>
      <c r="K4" s="2" t="s">
        <v>96</v>
      </c>
      <c r="L4" s="49">
        <v>30000</v>
      </c>
      <c r="M4" s="49">
        <v>40000</v>
      </c>
      <c r="N4" s="49">
        <f>M4-L4</f>
        <v>10000</v>
      </c>
      <c r="O4" s="50" t="str">
        <f>_xlfn.IFS(N4=0,"MANTIENE",N4&gt;0,"AUMENTA",N4&lt;0,"DISMINUYE")</f>
        <v>AUMENTA</v>
      </c>
      <c r="R4" s="5"/>
      <c r="S4" s="2" t="s">
        <v>106</v>
      </c>
      <c r="T4" s="2" t="s">
        <v>114</v>
      </c>
      <c r="U4" s="47">
        <f>IF(T4="Madrid",10%,5%)</f>
        <v>0.05</v>
      </c>
      <c r="Y4" s="5"/>
      <c r="Z4" s="2" t="s">
        <v>121</v>
      </c>
      <c r="AA4" s="2">
        <v>12568</v>
      </c>
      <c r="AB4" s="2">
        <v>0.23</v>
      </c>
      <c r="AC4" s="2" t="s">
        <v>130</v>
      </c>
      <c r="AD4" s="50" t="str">
        <f>IF(AC4="A","MÁXIMA","MODERADA")</f>
        <v>MÁXIMA</v>
      </c>
      <c r="AH4" s="72"/>
      <c r="AI4" s="63" t="s">
        <v>138</v>
      </c>
      <c r="AJ4" s="65">
        <v>6.61</v>
      </c>
      <c r="AN4" s="73"/>
      <c r="AQ4" s="5"/>
      <c r="AR4" s="2">
        <v>1255</v>
      </c>
      <c r="AS4" s="2" t="s">
        <v>149</v>
      </c>
      <c r="AT4" s="2">
        <v>11</v>
      </c>
      <c r="AU4" s="2">
        <v>0</v>
      </c>
      <c r="AV4" s="2">
        <v>1</v>
      </c>
      <c r="AW4" s="50" t="str">
        <f>IF(AND(AU4&gt;2,AT4&gt;20),AS4,"")</f>
        <v/>
      </c>
      <c r="BA4" s="5"/>
      <c r="BB4" s="129"/>
      <c r="BC4" s="58">
        <v>9.1999999999999993</v>
      </c>
      <c r="BD4" s="59">
        <v>2</v>
      </c>
      <c r="BE4" s="59">
        <v>6.12</v>
      </c>
      <c r="BF4" s="60">
        <v>6</v>
      </c>
      <c r="BG4" s="73"/>
    </row>
    <row r="5" spans="1:59" x14ac:dyDescent="0.25">
      <c r="A5" s="5"/>
      <c r="B5" s="2" t="s">
        <v>87</v>
      </c>
      <c r="C5" s="53">
        <v>38700000</v>
      </c>
      <c r="D5" s="53">
        <v>2709000</v>
      </c>
      <c r="E5" s="53">
        <v>5031000</v>
      </c>
      <c r="F5" s="54">
        <f>D5/C5</f>
        <v>7.0000000000000007E-2</v>
      </c>
      <c r="G5" s="50" t="str">
        <f>IF(F5&lt;8%,"Disminuye","Aumenta")</f>
        <v>Disminuye</v>
      </c>
      <c r="J5" s="5"/>
      <c r="K5" s="2" t="s">
        <v>97</v>
      </c>
      <c r="L5" s="49">
        <v>6000</v>
      </c>
      <c r="M5" s="49">
        <v>7500</v>
      </c>
      <c r="N5" s="49">
        <f t="shared" ref="N5:N12" si="0">M5-L5</f>
        <v>1500</v>
      </c>
      <c r="O5" s="50" t="str">
        <f t="shared" ref="O5:O12" si="1">_xlfn.IFS(N5=0,"MANTIENE",N5&gt;0,"AUMENTA",N5&lt;0,"DISMINUYE")</f>
        <v>AUMENTA</v>
      </c>
      <c r="R5" s="5"/>
      <c r="S5" s="2" t="s">
        <v>112</v>
      </c>
      <c r="T5" s="2" t="s">
        <v>115</v>
      </c>
      <c r="U5" s="47">
        <f t="shared" ref="U5:U10" si="2">IF(T5="Madrid",10%,5%)</f>
        <v>0.1</v>
      </c>
      <c r="Y5" s="5"/>
      <c r="Z5" s="2" t="s">
        <v>122</v>
      </c>
      <c r="AA5" s="2">
        <v>2356</v>
      </c>
      <c r="AB5" s="2">
        <v>0.25</v>
      </c>
      <c r="AC5" s="2" t="s">
        <v>131</v>
      </c>
      <c r="AD5" s="50" t="str">
        <f t="shared" ref="AD5:AD12" si="3">IF(AC5="A","MÁXIMA","MODERADA")</f>
        <v>MODERADA</v>
      </c>
      <c r="AH5" s="72"/>
      <c r="AN5" s="73"/>
      <c r="AQ5" s="5"/>
      <c r="AR5" s="2">
        <v>2148</v>
      </c>
      <c r="AS5" s="2" t="s">
        <v>150</v>
      </c>
      <c r="AT5" s="2">
        <v>18</v>
      </c>
      <c r="AU5" s="2">
        <v>0</v>
      </c>
      <c r="AV5" s="2">
        <v>5</v>
      </c>
      <c r="AW5" s="50" t="str">
        <f t="shared" ref="AW5:AW11" si="4">IF(AND(AU5&gt;2,AT5&gt;20),AS5,"")</f>
        <v/>
      </c>
      <c r="BA5" s="72"/>
      <c r="BB5" s="130"/>
      <c r="BC5" s="130"/>
      <c r="BD5" s="130"/>
      <c r="BE5" s="130"/>
      <c r="BF5" s="130"/>
      <c r="BG5" s="73"/>
    </row>
    <row r="6" spans="1:59" ht="15.75" thickBot="1" x14ac:dyDescent="0.3">
      <c r="A6" s="5"/>
      <c r="B6" s="2" t="s">
        <v>88</v>
      </c>
      <c r="C6" s="53">
        <v>57000000</v>
      </c>
      <c r="D6" s="53">
        <v>5130000</v>
      </c>
      <c r="E6" s="53">
        <v>5070000</v>
      </c>
      <c r="F6" s="54">
        <f>D6/C6</f>
        <v>0.09</v>
      </c>
      <c r="G6" s="50" t="str">
        <f>IF(F6&lt;8%,"Disminuye","Aumenta")</f>
        <v>Aumenta</v>
      </c>
      <c r="J6" s="5"/>
      <c r="K6" s="2" t="s">
        <v>98</v>
      </c>
      <c r="L6" s="49">
        <v>300</v>
      </c>
      <c r="M6" s="49">
        <v>150</v>
      </c>
      <c r="N6" s="49">
        <f t="shared" si="0"/>
        <v>-150</v>
      </c>
      <c r="O6" s="50" t="str">
        <f t="shared" si="1"/>
        <v>DISMINUYE</v>
      </c>
      <c r="R6" s="5"/>
      <c r="S6" s="2" t="s">
        <v>107</v>
      </c>
      <c r="T6" s="2" t="s">
        <v>116</v>
      </c>
      <c r="U6" s="47">
        <f t="shared" si="2"/>
        <v>0.05</v>
      </c>
      <c r="Y6" s="5"/>
      <c r="Z6" s="2" t="s">
        <v>123</v>
      </c>
      <c r="AA6" s="2">
        <v>4588</v>
      </c>
      <c r="AB6" s="2">
        <v>0.36</v>
      </c>
      <c r="AC6" s="2" t="s">
        <v>130</v>
      </c>
      <c r="AD6" s="50" t="str">
        <f t="shared" si="3"/>
        <v>MÁXIMA</v>
      </c>
      <c r="AH6" s="72"/>
      <c r="AN6" s="73"/>
      <c r="AQ6" s="5"/>
      <c r="AR6" s="2">
        <v>2365</v>
      </c>
      <c r="AS6" s="2" t="s">
        <v>151</v>
      </c>
      <c r="AT6" s="2">
        <v>23</v>
      </c>
      <c r="AU6" s="2">
        <v>1</v>
      </c>
      <c r="AV6" s="2">
        <v>6</v>
      </c>
      <c r="AW6" s="50" t="str">
        <f t="shared" si="4"/>
        <v/>
      </c>
      <c r="BA6" s="72"/>
      <c r="BB6" s="130"/>
      <c r="BC6" s="130"/>
      <c r="BD6" s="130"/>
      <c r="BE6" s="130"/>
      <c r="BF6" s="130"/>
      <c r="BG6" s="73"/>
    </row>
    <row r="7" spans="1:59" x14ac:dyDescent="0.25">
      <c r="A7" s="5"/>
      <c r="B7" s="2" t="s">
        <v>89</v>
      </c>
      <c r="C7" s="53">
        <v>61200000</v>
      </c>
      <c r="D7" s="53">
        <v>6732000</v>
      </c>
      <c r="E7" s="53">
        <v>612000000</v>
      </c>
      <c r="F7" s="54">
        <f>D7/C7</f>
        <v>0.11</v>
      </c>
      <c r="G7" s="50" t="str">
        <f>IF(F7&lt;8%,"Disminuye","Aumenta")</f>
        <v>Aumenta</v>
      </c>
      <c r="J7" s="5"/>
      <c r="K7" s="2" t="s">
        <v>99</v>
      </c>
      <c r="L7" s="49">
        <v>550</v>
      </c>
      <c r="M7" s="49">
        <v>460</v>
      </c>
      <c r="N7" s="49">
        <f t="shared" si="0"/>
        <v>-90</v>
      </c>
      <c r="O7" s="50" t="str">
        <f t="shared" si="1"/>
        <v>DISMINUYE</v>
      </c>
      <c r="R7" s="5"/>
      <c r="S7" s="2" t="s">
        <v>108</v>
      </c>
      <c r="T7" s="2" t="s">
        <v>115</v>
      </c>
      <c r="U7" s="47">
        <f t="shared" si="2"/>
        <v>0.1</v>
      </c>
      <c r="Y7" s="5"/>
      <c r="Z7" s="2" t="s">
        <v>124</v>
      </c>
      <c r="AA7" s="2">
        <v>9522</v>
      </c>
      <c r="AB7" s="2">
        <v>0.14000000000000001</v>
      </c>
      <c r="AC7" s="2" t="s">
        <v>132</v>
      </c>
      <c r="AD7" s="50" t="str">
        <f t="shared" si="3"/>
        <v>MODERADA</v>
      </c>
      <c r="AH7" s="72"/>
      <c r="AI7" s="63" t="s">
        <v>64</v>
      </c>
      <c r="AJ7" s="63" t="s">
        <v>139</v>
      </c>
      <c r="AK7" s="63" t="s">
        <v>140</v>
      </c>
      <c r="AL7" s="63" t="s">
        <v>141</v>
      </c>
      <c r="AM7" s="63" t="s">
        <v>142</v>
      </c>
      <c r="AN7" s="74" t="s">
        <v>143</v>
      </c>
      <c r="AQ7" s="5"/>
      <c r="AR7" s="2">
        <v>3255</v>
      </c>
      <c r="AS7" s="2" t="s">
        <v>152</v>
      </c>
      <c r="AT7" s="2">
        <v>43</v>
      </c>
      <c r="AU7" s="2">
        <v>5</v>
      </c>
      <c r="AV7" s="2">
        <v>3</v>
      </c>
      <c r="AW7" s="50" t="str">
        <f t="shared" si="4"/>
        <v>José Piperno</v>
      </c>
      <c r="BA7" s="125" t="s">
        <v>163</v>
      </c>
      <c r="BB7" s="126" t="s">
        <v>164</v>
      </c>
      <c r="BC7" s="126" t="s">
        <v>165</v>
      </c>
      <c r="BD7" s="126" t="s">
        <v>166</v>
      </c>
      <c r="BE7" s="126" t="s">
        <v>167</v>
      </c>
      <c r="BF7" s="126" t="s">
        <v>175</v>
      </c>
      <c r="BG7" s="127" t="s">
        <v>168</v>
      </c>
    </row>
    <row r="8" spans="1:59" x14ac:dyDescent="0.25">
      <c r="A8" s="5"/>
      <c r="B8" s="1"/>
      <c r="C8" s="1"/>
      <c r="D8" s="1"/>
      <c r="E8" s="1"/>
      <c r="F8" s="1"/>
      <c r="G8" s="21"/>
      <c r="J8" s="5"/>
      <c r="K8" s="2" t="s">
        <v>100</v>
      </c>
      <c r="L8" s="49">
        <v>120</v>
      </c>
      <c r="M8" s="49">
        <v>120</v>
      </c>
      <c r="N8" s="49">
        <f t="shared" si="0"/>
        <v>0</v>
      </c>
      <c r="O8" s="50" t="str">
        <f t="shared" si="1"/>
        <v>MANTIENE</v>
      </c>
      <c r="R8" s="5"/>
      <c r="S8" s="2" t="s">
        <v>109</v>
      </c>
      <c r="T8" s="2" t="s">
        <v>115</v>
      </c>
      <c r="U8" s="47">
        <f t="shared" si="2"/>
        <v>0.1</v>
      </c>
      <c r="Y8" s="5"/>
      <c r="Z8" s="2" t="s">
        <v>125</v>
      </c>
      <c r="AA8" s="2">
        <v>12544</v>
      </c>
      <c r="AB8" s="2">
        <v>0.18</v>
      </c>
      <c r="AC8" s="2" t="s">
        <v>130</v>
      </c>
      <c r="AD8" s="50" t="str">
        <f t="shared" si="3"/>
        <v>MÁXIMA</v>
      </c>
      <c r="AH8" s="72"/>
      <c r="AI8" s="64">
        <v>37530</v>
      </c>
      <c r="AJ8" s="65">
        <f>AJ3</f>
        <v>60.1</v>
      </c>
      <c r="AK8" s="66">
        <v>0.16</v>
      </c>
      <c r="AL8" s="65">
        <f>AJ8*AK8</f>
        <v>9.6159999999999997</v>
      </c>
      <c r="AM8" s="65">
        <f>AJ8-AL8</f>
        <v>50.484000000000002</v>
      </c>
      <c r="AN8" s="75" t="str">
        <f>IF(AND(AM8&gt;72.12,AK8=8%),"BUENA","MALA")</f>
        <v>MALA</v>
      </c>
      <c r="AQ8" s="5"/>
      <c r="AR8" s="2">
        <v>3654</v>
      </c>
      <c r="AS8" s="2" t="s">
        <v>153</v>
      </c>
      <c r="AT8" s="2">
        <v>22</v>
      </c>
      <c r="AU8" s="2">
        <v>0</v>
      </c>
      <c r="AV8" s="2">
        <v>1</v>
      </c>
      <c r="AW8" s="50" t="str">
        <f t="shared" si="4"/>
        <v/>
      </c>
      <c r="BA8" s="14" t="s">
        <v>169</v>
      </c>
      <c r="BB8" s="2">
        <v>7.5</v>
      </c>
      <c r="BC8" s="2">
        <v>6</v>
      </c>
      <c r="BD8" s="2">
        <v>8</v>
      </c>
      <c r="BE8" s="123">
        <f>AVERAGE(BB8:BD8)</f>
        <v>7.166666666666667</v>
      </c>
      <c r="BF8" s="2" t="str">
        <f>IF(BE8&gt;=5,"Aprobado","Suspenso")</f>
        <v>Aprobado</v>
      </c>
      <c r="BG8" s="50" t="str">
        <f>_xlfn.IFS(BE8&lt;5,"Insuficiente",BE8&lt;7,"Bien",BE8&lt;9,"Notable",BE8&lt;=10,"Sobresaliente")</f>
        <v>Notable</v>
      </c>
    </row>
    <row r="9" spans="1:59" x14ac:dyDescent="0.25">
      <c r="A9" s="5"/>
      <c r="B9" s="55" t="s">
        <v>90</v>
      </c>
      <c r="C9" s="53">
        <f>AVERAGE(C4:C7)</f>
        <v>43100000</v>
      </c>
      <c r="D9" s="53">
        <f>AVERAGE(D4:D7)</f>
        <v>3914000</v>
      </c>
      <c r="E9" s="53">
        <f>AVERAGE(E4:E7)</f>
        <v>156145250</v>
      </c>
      <c r="F9" s="1"/>
      <c r="G9" s="21"/>
      <c r="J9" s="5"/>
      <c r="K9" s="2" t="s">
        <v>101</v>
      </c>
      <c r="L9" s="49">
        <v>27000</v>
      </c>
      <c r="M9" s="49">
        <v>32000</v>
      </c>
      <c r="N9" s="49">
        <f t="shared" si="0"/>
        <v>5000</v>
      </c>
      <c r="O9" s="50" t="str">
        <f t="shared" si="1"/>
        <v>AUMENTA</v>
      </c>
      <c r="R9" s="5"/>
      <c r="S9" s="2" t="s">
        <v>110</v>
      </c>
      <c r="T9" s="2" t="s">
        <v>117</v>
      </c>
      <c r="U9" s="47">
        <f t="shared" si="2"/>
        <v>0.05</v>
      </c>
      <c r="Y9" s="5"/>
      <c r="Z9" s="2" t="s">
        <v>126</v>
      </c>
      <c r="AA9" s="2">
        <v>1020</v>
      </c>
      <c r="AB9" s="2">
        <v>0.6</v>
      </c>
      <c r="AC9" s="2" t="s">
        <v>132</v>
      </c>
      <c r="AD9" s="50" t="str">
        <f t="shared" si="3"/>
        <v>MODERADA</v>
      </c>
      <c r="AH9" s="72"/>
      <c r="AI9" s="64">
        <v>37531</v>
      </c>
      <c r="AJ9" s="65">
        <f>AJ8+$AJ$4</f>
        <v>66.710000000000008</v>
      </c>
      <c r="AK9" s="66">
        <v>0.12</v>
      </c>
      <c r="AL9" s="65">
        <f t="shared" ref="AL9:AL14" si="5">AJ9*AK9</f>
        <v>8.0052000000000003</v>
      </c>
      <c r="AM9" s="65">
        <f t="shared" ref="AM9:AM14" si="6">AJ9-AL9</f>
        <v>58.704800000000006</v>
      </c>
      <c r="AN9" s="75" t="str">
        <f t="shared" ref="AN9:AN14" si="7">IF(AND(AM9&gt;72.12,AK9=8%),"BUENA","MALA")</f>
        <v>MALA</v>
      </c>
      <c r="AQ9" s="5"/>
      <c r="AR9" s="2">
        <v>4578</v>
      </c>
      <c r="AS9" s="2" t="s">
        <v>154</v>
      </c>
      <c r="AT9" s="2">
        <v>56</v>
      </c>
      <c r="AU9" s="2">
        <v>3</v>
      </c>
      <c r="AV9" s="2">
        <v>20</v>
      </c>
      <c r="AW9" s="50" t="str">
        <f t="shared" si="4"/>
        <v>Luisa Vehil</v>
      </c>
      <c r="BA9" s="14" t="s">
        <v>170</v>
      </c>
      <c r="BB9" s="2">
        <v>9.1999999999999993</v>
      </c>
      <c r="BC9" s="2">
        <v>8.5</v>
      </c>
      <c r="BD9" s="2">
        <v>9</v>
      </c>
      <c r="BE9" s="123">
        <f t="shared" ref="BE9:BE13" si="8">AVERAGE(BB9:BD9)</f>
        <v>8.9</v>
      </c>
      <c r="BF9" s="2" t="str">
        <f t="shared" ref="BF9:BF13" si="9">IF(BE9&gt;=5,"Aprobado","Suspenso")</f>
        <v>Aprobado</v>
      </c>
      <c r="BG9" s="50" t="str">
        <f t="shared" ref="BG9:BG13" si="10">_xlfn.IFS(BE9&lt;5,"Insuficiente",BE9&lt;7,"Bien",BE9&lt;9,"Notable",BE9&lt;=10,"Sobresaliente")</f>
        <v>Notable</v>
      </c>
    </row>
    <row r="10" spans="1:59" ht="15.75" thickBot="1" x14ac:dyDescent="0.3">
      <c r="A10" s="5"/>
      <c r="B10" s="55" t="s">
        <v>43</v>
      </c>
      <c r="C10" s="53">
        <f>MAX(C4:C7)</f>
        <v>61200000</v>
      </c>
      <c r="D10" s="53">
        <f>MAX(D4:D7)</f>
        <v>6732000</v>
      </c>
      <c r="E10" s="53">
        <f>MAX(E4:E7)</f>
        <v>612000000</v>
      </c>
      <c r="F10" s="1"/>
      <c r="G10" s="21"/>
      <c r="J10" s="5"/>
      <c r="K10" s="2" t="s">
        <v>102</v>
      </c>
      <c r="L10" s="49">
        <v>645</v>
      </c>
      <c r="M10" s="49">
        <v>540</v>
      </c>
      <c r="N10" s="49">
        <f t="shared" si="0"/>
        <v>-105</v>
      </c>
      <c r="O10" s="50" t="str">
        <f t="shared" si="1"/>
        <v>DISMINUYE</v>
      </c>
      <c r="R10" s="6"/>
      <c r="S10" s="17" t="s">
        <v>111</v>
      </c>
      <c r="T10" s="17" t="s">
        <v>115</v>
      </c>
      <c r="U10" s="48">
        <f t="shared" si="2"/>
        <v>0.1</v>
      </c>
      <c r="Y10" s="5"/>
      <c r="Z10" s="2" t="s">
        <v>127</v>
      </c>
      <c r="AA10" s="2">
        <v>15402</v>
      </c>
      <c r="AB10" s="2">
        <v>0.27</v>
      </c>
      <c r="AC10" s="2" t="s">
        <v>130</v>
      </c>
      <c r="AD10" s="50" t="str">
        <f t="shared" si="3"/>
        <v>MÁXIMA</v>
      </c>
      <c r="AH10" s="72"/>
      <c r="AI10" s="64">
        <v>37532</v>
      </c>
      <c r="AJ10" s="65">
        <f t="shared" ref="AJ10:AJ14" si="11">AJ9+$AJ$4</f>
        <v>73.320000000000007</v>
      </c>
      <c r="AK10" s="66">
        <v>0.08</v>
      </c>
      <c r="AL10" s="65">
        <f t="shared" si="5"/>
        <v>5.8656000000000006</v>
      </c>
      <c r="AM10" s="65">
        <f t="shared" si="6"/>
        <v>67.454400000000007</v>
      </c>
      <c r="AN10" s="75" t="str">
        <f t="shared" si="7"/>
        <v>MALA</v>
      </c>
      <c r="AQ10" s="5"/>
      <c r="AR10" s="2">
        <v>5967</v>
      </c>
      <c r="AS10" s="2" t="s">
        <v>155</v>
      </c>
      <c r="AT10" s="2">
        <v>11</v>
      </c>
      <c r="AU10" s="2">
        <v>1</v>
      </c>
      <c r="AV10" s="2">
        <v>2</v>
      </c>
      <c r="AW10" s="50" t="str">
        <f t="shared" si="4"/>
        <v/>
      </c>
      <c r="BA10" s="14" t="s">
        <v>171</v>
      </c>
      <c r="BB10" s="2">
        <v>8</v>
      </c>
      <c r="BC10" s="2">
        <v>4</v>
      </c>
      <c r="BD10" s="2">
        <v>3</v>
      </c>
      <c r="BE10" s="123">
        <f t="shared" si="8"/>
        <v>5</v>
      </c>
      <c r="BF10" s="2" t="str">
        <f t="shared" si="9"/>
        <v>Aprobado</v>
      </c>
      <c r="BG10" s="50" t="str">
        <f t="shared" si="10"/>
        <v>Bien</v>
      </c>
    </row>
    <row r="11" spans="1:59" ht="15.75" thickBot="1" x14ac:dyDescent="0.3">
      <c r="A11" s="6"/>
      <c r="B11" s="56" t="s">
        <v>44</v>
      </c>
      <c r="C11" s="57">
        <f>MIN(C4:C7)</f>
        <v>15500000</v>
      </c>
      <c r="D11" s="57">
        <f>MIN(D4:D7)</f>
        <v>1085000</v>
      </c>
      <c r="E11" s="57">
        <f>MIN(E4:E7)</f>
        <v>2480000</v>
      </c>
      <c r="F11" s="7"/>
      <c r="G11" s="22"/>
      <c r="J11" s="5"/>
      <c r="K11" s="2" t="s">
        <v>103</v>
      </c>
      <c r="L11" s="49">
        <v>200</v>
      </c>
      <c r="M11" s="49">
        <v>200</v>
      </c>
      <c r="N11" s="49">
        <f t="shared" si="0"/>
        <v>0</v>
      </c>
      <c r="O11" s="50" t="str">
        <f t="shared" si="1"/>
        <v>MANTIENE</v>
      </c>
      <c r="Y11" s="5"/>
      <c r="Z11" s="2" t="s">
        <v>129</v>
      </c>
      <c r="AA11" s="2">
        <v>6598</v>
      </c>
      <c r="AB11" s="2">
        <v>0.78</v>
      </c>
      <c r="AC11" s="2" t="s">
        <v>131</v>
      </c>
      <c r="AD11" s="50" t="str">
        <f t="shared" si="3"/>
        <v>MODERADA</v>
      </c>
      <c r="AH11" s="72"/>
      <c r="AI11" s="64">
        <v>37533</v>
      </c>
      <c r="AJ11" s="65">
        <f t="shared" si="11"/>
        <v>79.930000000000007</v>
      </c>
      <c r="AK11" s="66">
        <v>0.08</v>
      </c>
      <c r="AL11" s="65">
        <f t="shared" si="5"/>
        <v>6.394400000000001</v>
      </c>
      <c r="AM11" s="65">
        <f t="shared" si="6"/>
        <v>73.535600000000002</v>
      </c>
      <c r="AN11" s="75" t="str">
        <f t="shared" si="7"/>
        <v>BUENA</v>
      </c>
      <c r="AQ11" s="6"/>
      <c r="AR11" s="17">
        <v>6685</v>
      </c>
      <c r="AS11" s="17" t="s">
        <v>156</v>
      </c>
      <c r="AT11" s="17">
        <v>29</v>
      </c>
      <c r="AU11" s="17">
        <v>1</v>
      </c>
      <c r="AV11" s="17">
        <v>12</v>
      </c>
      <c r="AW11" s="52" t="str">
        <f t="shared" si="4"/>
        <v/>
      </c>
      <c r="BA11" s="14" t="s">
        <v>172</v>
      </c>
      <c r="BB11" s="2">
        <v>3</v>
      </c>
      <c r="BC11" s="2">
        <v>5</v>
      </c>
      <c r="BD11" s="2">
        <v>6.5</v>
      </c>
      <c r="BE11" s="123">
        <f t="shared" si="8"/>
        <v>4.833333333333333</v>
      </c>
      <c r="BF11" s="2" t="str">
        <f t="shared" si="9"/>
        <v>Suspenso</v>
      </c>
      <c r="BG11" s="50" t="str">
        <f t="shared" si="10"/>
        <v>Insuficiente</v>
      </c>
    </row>
    <row r="12" spans="1:59" ht="15.75" thickBot="1" x14ac:dyDescent="0.3">
      <c r="J12" s="6"/>
      <c r="K12" s="17" t="s">
        <v>104</v>
      </c>
      <c r="L12" s="51">
        <v>700</v>
      </c>
      <c r="M12" s="51">
        <v>750</v>
      </c>
      <c r="N12" s="51">
        <f t="shared" si="0"/>
        <v>50</v>
      </c>
      <c r="O12" s="52" t="str">
        <f t="shared" si="1"/>
        <v>AUMENTA</v>
      </c>
      <c r="Y12" s="5"/>
      <c r="Z12" s="2" t="s">
        <v>128</v>
      </c>
      <c r="AA12" s="2">
        <v>8787</v>
      </c>
      <c r="AB12" s="2">
        <v>1.02</v>
      </c>
      <c r="AC12" s="2" t="s">
        <v>131</v>
      </c>
      <c r="AD12" s="50" t="str">
        <f t="shared" si="3"/>
        <v>MODERADA</v>
      </c>
      <c r="AH12" s="72"/>
      <c r="AI12" s="64">
        <v>37534</v>
      </c>
      <c r="AJ12" s="65">
        <f t="shared" si="11"/>
        <v>86.54</v>
      </c>
      <c r="AK12" s="66">
        <v>0.12</v>
      </c>
      <c r="AL12" s="65">
        <f t="shared" si="5"/>
        <v>10.3848</v>
      </c>
      <c r="AM12" s="65">
        <f t="shared" si="6"/>
        <v>76.155200000000008</v>
      </c>
      <c r="AN12" s="75" t="str">
        <f t="shared" si="7"/>
        <v>MALA</v>
      </c>
      <c r="BA12" s="14" t="s">
        <v>173</v>
      </c>
      <c r="BB12" s="2">
        <v>5</v>
      </c>
      <c r="BC12" s="2">
        <v>7</v>
      </c>
      <c r="BD12" s="2">
        <v>2</v>
      </c>
      <c r="BE12" s="123">
        <f t="shared" si="8"/>
        <v>4.666666666666667</v>
      </c>
      <c r="BF12" s="2" t="str">
        <f t="shared" si="9"/>
        <v>Suspenso</v>
      </c>
      <c r="BG12" s="50" t="str">
        <f t="shared" si="10"/>
        <v>Insuficiente</v>
      </c>
    </row>
    <row r="13" spans="1:59" ht="15.75" thickBot="1" x14ac:dyDescent="0.3">
      <c r="Y13" s="5"/>
      <c r="Z13" s="1"/>
      <c r="AA13" s="1"/>
      <c r="AB13" s="1"/>
      <c r="AC13" s="1"/>
      <c r="AD13" s="21"/>
      <c r="AH13" s="72"/>
      <c r="AI13" s="64">
        <v>37535</v>
      </c>
      <c r="AJ13" s="65">
        <f t="shared" si="11"/>
        <v>93.15</v>
      </c>
      <c r="AK13" s="66">
        <v>0.16</v>
      </c>
      <c r="AL13" s="65">
        <f t="shared" si="5"/>
        <v>14.904000000000002</v>
      </c>
      <c r="AM13" s="65">
        <f t="shared" si="6"/>
        <v>78.246000000000009</v>
      </c>
      <c r="AN13" s="75" t="str">
        <f t="shared" si="7"/>
        <v>MALA</v>
      </c>
      <c r="BA13" s="16" t="s">
        <v>174</v>
      </c>
      <c r="BB13" s="17">
        <v>6.5</v>
      </c>
      <c r="BC13" s="17">
        <v>6</v>
      </c>
      <c r="BD13" s="17">
        <v>6</v>
      </c>
      <c r="BE13" s="124">
        <f t="shared" si="8"/>
        <v>6.166666666666667</v>
      </c>
      <c r="BF13" s="17" t="str">
        <f t="shared" si="9"/>
        <v>Aprobado</v>
      </c>
      <c r="BG13" s="52" t="str">
        <f t="shared" si="10"/>
        <v>Bien</v>
      </c>
    </row>
    <row r="14" spans="1:59" ht="15.75" thickBot="1" x14ac:dyDescent="0.3">
      <c r="Y14" s="61" t="s">
        <v>133</v>
      </c>
      <c r="Z14" s="2">
        <f>COUNTIF(AC4:AC12,"A")</f>
        <v>4</v>
      </c>
      <c r="AA14" s="1"/>
      <c r="AB14" s="1"/>
      <c r="AC14" s="1"/>
      <c r="AD14" s="21"/>
      <c r="AH14" s="76"/>
      <c r="AI14" s="77">
        <v>37536</v>
      </c>
      <c r="AJ14" s="78">
        <f t="shared" si="11"/>
        <v>99.76</v>
      </c>
      <c r="AK14" s="79">
        <v>0.16</v>
      </c>
      <c r="AL14" s="78">
        <f t="shared" si="5"/>
        <v>15.961600000000001</v>
      </c>
      <c r="AM14" s="78">
        <f t="shared" si="6"/>
        <v>83.798400000000001</v>
      </c>
      <c r="AN14" s="80" t="str">
        <f t="shared" si="7"/>
        <v>MALA</v>
      </c>
    </row>
    <row r="15" spans="1:59" ht="15.75" thickBot="1" x14ac:dyDescent="0.3">
      <c r="Y15" s="62" t="s">
        <v>134</v>
      </c>
      <c r="Z15" s="17">
        <f>COUNTIF(AB4:AB12,"&lt;0,5")</f>
        <v>6</v>
      </c>
      <c r="AA15" s="7"/>
      <c r="AB15" s="7"/>
      <c r="AC15" s="7"/>
      <c r="AD15" s="22"/>
    </row>
  </sheetData>
  <mergeCells count="1">
    <mergeCell ref="BB3:BB4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BuscarV</vt:lpstr>
      <vt:lpstr>Lógica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2026-05-26T07:04:58Z</dcterms:created>
  <dcterms:modified xsi:type="dcterms:W3CDTF">2026-05-27T07:15:31Z</dcterms:modified>
</cp:coreProperties>
</file>