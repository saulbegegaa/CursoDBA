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Modulo 1\Unidad 3\Ejercicios\"/>
    </mc:Choice>
  </mc:AlternateContent>
  <xr:revisionPtr revIDLastSave="0" documentId="8_{7D54E41C-85FD-46F0-8EC9-D97B1B31ACF1}" xr6:coauthVersionLast="47" xr6:coauthVersionMax="47" xr10:uidLastSave="{00000000-0000-0000-0000-000000000000}"/>
  <bookViews>
    <workbookView xWindow="-120" yWindow="-120" windowWidth="20730" windowHeight="11160" xr2:uid="{1460BFEB-D745-4329-8472-2B8DE516B0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I3" i="1" s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D2" i="1"/>
  <c r="E2" i="1"/>
  <c r="B3" i="1"/>
  <c r="B4" i="1"/>
  <c r="B5" i="1"/>
  <c r="B6" i="1"/>
  <c r="B7" i="1"/>
  <c r="B8" i="1"/>
  <c r="B9" i="1"/>
  <c r="C2" i="1"/>
  <c r="B2" i="1"/>
  <c r="H2" i="1" l="1"/>
  <c r="B17" i="1" s="1"/>
  <c r="I8" i="1"/>
  <c r="I7" i="1"/>
  <c r="I4" i="1"/>
  <c r="I2" i="1"/>
  <c r="B18" i="1" s="1"/>
  <c r="H9" i="1"/>
  <c r="H5" i="1"/>
  <c r="I6" i="1"/>
  <c r="I9" i="1"/>
  <c r="I5" i="1"/>
  <c r="H6" i="1"/>
  <c r="H7" i="1"/>
  <c r="H3" i="1"/>
  <c r="H8" i="1"/>
  <c r="H4" i="1"/>
  <c r="F7" i="1"/>
  <c r="F2" i="1"/>
  <c r="B15" i="1" s="1"/>
  <c r="F8" i="1"/>
  <c r="G8" i="1" s="1"/>
  <c r="F6" i="1"/>
  <c r="G6" i="1" s="1"/>
  <c r="F4" i="1"/>
  <c r="G4" i="1" s="1"/>
  <c r="F5" i="1"/>
  <c r="G5" i="1" s="1"/>
  <c r="F3" i="1"/>
  <c r="G3" i="1" s="1"/>
  <c r="C10" i="1"/>
  <c r="D10" i="1"/>
  <c r="E10" i="1"/>
  <c r="F9" i="1"/>
  <c r="G9" i="1" s="1"/>
  <c r="F10" i="1" l="1"/>
  <c r="G7" i="1"/>
  <c r="G2" i="1"/>
  <c r="B16" i="1" s="1"/>
</calcChain>
</file>

<file path=xl/sharedStrings.xml><?xml version="1.0" encoding="utf-8"?>
<sst xmlns="http://schemas.openxmlformats.org/spreadsheetml/2006/main" count="24" uniqueCount="18">
  <si>
    <t>Nombre</t>
  </si>
  <si>
    <t>Edad</t>
  </si>
  <si>
    <t>Nota 1</t>
  </si>
  <si>
    <t>Nota 2</t>
  </si>
  <si>
    <t>Nota 3</t>
  </si>
  <si>
    <t>Nota Final</t>
  </si>
  <si>
    <t>Aprobado</t>
  </si>
  <si>
    <t>Suspendió alguna?</t>
  </si>
  <si>
    <t>Aprobó todas?</t>
  </si>
  <si>
    <t>Saúl</t>
  </si>
  <si>
    <t>Hayle</t>
  </si>
  <si>
    <t>Dani</t>
  </si>
  <si>
    <t>Victor</t>
  </si>
  <si>
    <t>Yoel</t>
  </si>
  <si>
    <t>Maksim</t>
  </si>
  <si>
    <t>Barbara</t>
  </si>
  <si>
    <t>Zaira</t>
  </si>
  <si>
    <t>Suspensos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</si>
</sst>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E027-77EB-40F6-BFE5-AEE3ABD9ED9B}">
  <dimension ref="A1:I18"/>
  <sheetViews>
    <sheetView tabSelected="1" workbookViewId="0">
      <selection activeCell="K6" sqref="K6"/>
    </sheetView>
  </sheetViews>
  <sheetFormatPr baseColWidth="10" defaultRowHeight="15" x14ac:dyDescent="0.25"/>
  <cols>
    <col min="1" max="1" width="17.5703125" customWidth="1"/>
    <col min="3" max="3" width="17" customWidth="1"/>
    <col min="8" max="8" width="19.7109375" customWidth="1"/>
    <col min="9" max="9" width="14.4257812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2" t="s">
        <v>9</v>
      </c>
      <c r="B2" s="2">
        <f ca="1">RANDBETWEEN(0,100)</f>
        <v>10</v>
      </c>
      <c r="C2" s="3">
        <f ca="1">RAND()*10</f>
        <v>7.2415560456478349</v>
      </c>
      <c r="D2" s="3">
        <f t="shared" ref="D2:E9" ca="1" si="0">RAND()*10</f>
        <v>7.2734082158185762</v>
      </c>
      <c r="E2" s="3">
        <f t="shared" ca="1" si="0"/>
        <v>9.3054459407301451</v>
      </c>
      <c r="F2" s="3">
        <f ca="1">AVERAGE(C2,D2,E2)</f>
        <v>7.9401367340655185</v>
      </c>
      <c r="G2" s="2" t="str">
        <f ca="1">IF(F2&gt;=5,"SI","NO")</f>
        <v>SI</v>
      </c>
      <c r="H2" s="2" t="str">
        <f ca="1">IF(OR(C2&lt;5,D2&lt;5,E2&lt;5),"SI","NO")</f>
        <v>NO</v>
      </c>
      <c r="I2" s="2" t="str">
        <f ca="1">IF(AND(C2&gt;=5,D2&gt;=5,E2&gt;=5),"SI","NO")</f>
        <v>SI</v>
      </c>
    </row>
    <row r="3" spans="1:9" x14ac:dyDescent="0.25">
      <c r="A3" s="2" t="s">
        <v>10</v>
      </c>
      <c r="B3" s="2">
        <f t="shared" ref="B3:B9" ca="1" si="1">RANDBETWEEN(0,100)</f>
        <v>44</v>
      </c>
      <c r="C3" s="3">
        <f t="shared" ref="C3:C9" ca="1" si="2">RAND()*10</f>
        <v>1.5851560866571723</v>
      </c>
      <c r="D3" s="3">
        <f t="shared" ca="1" si="0"/>
        <v>8.123748561866698</v>
      </c>
      <c r="E3" s="3">
        <f t="shared" ca="1" si="0"/>
        <v>1.0451284203004263</v>
      </c>
      <c r="F3" s="3">
        <f ca="1">AVERAGE(C3,D3,E3)</f>
        <v>3.5846776896080983</v>
      </c>
      <c r="G3" s="2" t="str">
        <f t="shared" ref="G3:G9" ca="1" si="3">IF(F3&gt;=5,"SI","NO")</f>
        <v>NO</v>
      </c>
      <c r="H3" s="2" t="str">
        <f t="shared" ref="H3:H9" ca="1" si="4">IF(OR(C3&lt;5,D3&lt;5,E3&lt;5),"SI","NO")</f>
        <v>SI</v>
      </c>
      <c r="I3" s="2" t="str">
        <f ca="1">IF(AND(C3&gt;=5,D3&gt;=5,E3&gt;=5),"SI","NO")</f>
        <v>NO</v>
      </c>
    </row>
    <row r="4" spans="1:9" x14ac:dyDescent="0.25">
      <c r="A4" s="2" t="s">
        <v>12</v>
      </c>
      <c r="B4" s="2">
        <f t="shared" ca="1" si="1"/>
        <v>22</v>
      </c>
      <c r="C4" s="3">
        <f t="shared" ca="1" si="2"/>
        <v>4.6821431154087279</v>
      </c>
      <c r="D4" s="3">
        <f t="shared" ca="1" si="0"/>
        <v>4.4249494314132063</v>
      </c>
      <c r="E4" s="3">
        <f t="shared" ca="1" si="0"/>
        <v>2.5602133243794647</v>
      </c>
      <c r="F4" s="3">
        <f ca="1">AVERAGE(C4,D4,E4)</f>
        <v>3.8891019570671332</v>
      </c>
      <c r="G4" s="2" t="str">
        <f t="shared" ca="1" si="3"/>
        <v>NO</v>
      </c>
      <c r="H4" s="2" t="str">
        <f t="shared" ca="1" si="4"/>
        <v>SI</v>
      </c>
      <c r="I4" s="2" t="str">
        <f t="shared" ref="I3:I9" ca="1" si="5">IF(AND(C4&gt;=5,D4&gt;=5,E4&gt;=5),"SI","NO")</f>
        <v>NO</v>
      </c>
    </row>
    <row r="5" spans="1:9" x14ac:dyDescent="0.25">
      <c r="A5" s="2" t="s">
        <v>11</v>
      </c>
      <c r="B5" s="2">
        <f t="shared" ca="1" si="1"/>
        <v>0</v>
      </c>
      <c r="C5" s="3">
        <f t="shared" ca="1" si="2"/>
        <v>1.1681348730649832</v>
      </c>
      <c r="D5" s="3">
        <f t="shared" ca="1" si="0"/>
        <v>3.4088513594972101</v>
      </c>
      <c r="E5" s="3">
        <f t="shared" ca="1" si="0"/>
        <v>8.0451059655257637</v>
      </c>
      <c r="F5" s="3">
        <f ca="1">AVERAGE(C5,D5,E5)</f>
        <v>4.207364066029319</v>
      </c>
      <c r="G5" s="2" t="str">
        <f t="shared" ca="1" si="3"/>
        <v>NO</v>
      </c>
      <c r="H5" s="2" t="str">
        <f t="shared" ca="1" si="4"/>
        <v>SI</v>
      </c>
      <c r="I5" s="2" t="str">
        <f t="shared" ca="1" si="5"/>
        <v>NO</v>
      </c>
    </row>
    <row r="6" spans="1:9" x14ac:dyDescent="0.25">
      <c r="A6" s="2" t="s">
        <v>14</v>
      </c>
      <c r="B6" s="2">
        <f t="shared" ca="1" si="1"/>
        <v>49</v>
      </c>
      <c r="C6" s="3">
        <f t="shared" ca="1" si="2"/>
        <v>3.9458780500583792</v>
      </c>
      <c r="D6" s="3">
        <f t="shared" ca="1" si="0"/>
        <v>1.2610256600756331</v>
      </c>
      <c r="E6" s="3">
        <f t="shared" ca="1" si="0"/>
        <v>0.83721873696265825</v>
      </c>
      <c r="F6" s="3">
        <f ca="1">AVERAGE(C6,D6,E6)</f>
        <v>2.0147074823655569</v>
      </c>
      <c r="G6" s="2" t="str">
        <f t="shared" ca="1" si="3"/>
        <v>NO</v>
      </c>
      <c r="H6" s="2" t="str">
        <f t="shared" ca="1" si="4"/>
        <v>SI</v>
      </c>
      <c r="I6" s="2" t="str">
        <f t="shared" ca="1" si="5"/>
        <v>NO</v>
      </c>
    </row>
    <row r="7" spans="1:9" x14ac:dyDescent="0.25">
      <c r="A7" s="2" t="s">
        <v>15</v>
      </c>
      <c r="B7" s="2">
        <f t="shared" ca="1" si="1"/>
        <v>45</v>
      </c>
      <c r="C7" s="3">
        <f t="shared" ca="1" si="2"/>
        <v>9.1267103201991464</v>
      </c>
      <c r="D7" s="3">
        <f t="shared" ca="1" si="0"/>
        <v>4.0776664657402382</v>
      </c>
      <c r="E7" s="3">
        <f t="shared" ca="1" si="0"/>
        <v>8.3886590050932437</v>
      </c>
      <c r="F7" s="3">
        <f ca="1">AVERAGE(C7,D7,E7)</f>
        <v>7.1976785970108752</v>
      </c>
      <c r="G7" s="2" t="str">
        <f t="shared" ca="1" si="3"/>
        <v>SI</v>
      </c>
      <c r="H7" s="2" t="str">
        <f t="shared" ca="1" si="4"/>
        <v>SI</v>
      </c>
      <c r="I7" s="2" t="str">
        <f t="shared" ca="1" si="5"/>
        <v>NO</v>
      </c>
    </row>
    <row r="8" spans="1:9" x14ac:dyDescent="0.25">
      <c r="A8" s="2" t="s">
        <v>13</v>
      </c>
      <c r="B8" s="2">
        <f t="shared" ca="1" si="1"/>
        <v>0</v>
      </c>
      <c r="C8" s="3">
        <f t="shared" ca="1" si="2"/>
        <v>7.1340802451340348</v>
      </c>
      <c r="D8" s="3">
        <f t="shared" ca="1" si="0"/>
        <v>8.2264762544037815</v>
      </c>
      <c r="E8" s="3">
        <f t="shared" ca="1" si="0"/>
        <v>4.0622757477423477</v>
      </c>
      <c r="F8" s="3">
        <f ca="1">AVERAGE(C8,D8,E8)</f>
        <v>6.4742774157600538</v>
      </c>
      <c r="G8" s="2" t="str">
        <f t="shared" ca="1" si="3"/>
        <v>SI</v>
      </c>
      <c r="H8" s="2" t="str">
        <f t="shared" ca="1" si="4"/>
        <v>SI</v>
      </c>
      <c r="I8" s="2" t="str">
        <f t="shared" ca="1" si="5"/>
        <v>NO</v>
      </c>
    </row>
    <row r="9" spans="1:9" x14ac:dyDescent="0.25">
      <c r="A9" s="2" t="s">
        <v>16</v>
      </c>
      <c r="B9" s="2">
        <f t="shared" ca="1" si="1"/>
        <v>76</v>
      </c>
      <c r="C9" s="3">
        <f t="shared" ca="1" si="2"/>
        <v>4.0289104224164145</v>
      </c>
      <c r="D9" s="3">
        <f t="shared" ca="1" si="0"/>
        <v>0.50704422533409454</v>
      </c>
      <c r="E9" s="3">
        <f t="shared" ca="1" si="0"/>
        <v>8.3389262222537255</v>
      </c>
      <c r="F9" s="3">
        <f t="shared" ref="F3:F9" ca="1" si="6">AVERAGE(C9,D9,E9)</f>
        <v>4.291626956668078</v>
      </c>
      <c r="G9" s="2" t="str">
        <f t="shared" ca="1" si="3"/>
        <v>NO</v>
      </c>
      <c r="H9" s="2" t="str">
        <f t="shared" ca="1" si="4"/>
        <v>SI</v>
      </c>
      <c r="I9" s="2" t="str">
        <f t="shared" ca="1" si="5"/>
        <v>NO</v>
      </c>
    </row>
    <row r="10" spans="1:9" ht="46.5" customHeight="1" x14ac:dyDescent="0.25">
      <c r="A10" s="4" t="s">
        <v>17</v>
      </c>
      <c r="B10" s="2"/>
      <c r="C10" s="1">
        <f ca="1">COUNTIF(C2:C9,"&lt;5")</f>
        <v>5</v>
      </c>
      <c r="D10" s="1">
        <f t="shared" ref="D10:F10" ca="1" si="7">COUNTIF(D2:D9,"&lt;5")</f>
        <v>5</v>
      </c>
      <c r="E10" s="1">
        <f t="shared" ca="1" si="7"/>
        <v>4</v>
      </c>
      <c r="F10" s="1">
        <f ca="1">COUNTIF(F2:F9,"&lt;5")</f>
        <v>5</v>
      </c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4" t="s">
        <v>0</v>
      </c>
      <c r="B14" s="2" t="s">
        <v>9</v>
      </c>
      <c r="C14" s="2"/>
      <c r="D14" s="2"/>
      <c r="E14" s="2"/>
      <c r="F14" s="2"/>
      <c r="G14" s="2"/>
      <c r="H14" s="2"/>
      <c r="I14" s="2"/>
    </row>
    <row r="15" spans="1:9" x14ac:dyDescent="0.25">
      <c r="A15" s="4" t="s">
        <v>5</v>
      </c>
      <c r="B15" s="3">
        <f ca="1">VLOOKUP(B14,A2:I9,6,0)</f>
        <v>7.9401367340655185</v>
      </c>
      <c r="C15" s="2"/>
      <c r="D15" s="2"/>
      <c r="E15" s="2"/>
      <c r="F15" s="2"/>
      <c r="G15" s="2"/>
      <c r="H15" s="2"/>
      <c r="I15" s="2"/>
    </row>
    <row r="16" spans="1:9" x14ac:dyDescent="0.25">
      <c r="A16" s="4" t="s">
        <v>6</v>
      </c>
      <c r="B16" s="2" t="str">
        <f ca="1">VLOOKUP(B14,A2:I9,7,0)</f>
        <v>SI</v>
      </c>
      <c r="C16" s="2"/>
      <c r="D16" s="2"/>
      <c r="E16" s="2"/>
      <c r="F16" s="2"/>
      <c r="G16" s="2"/>
      <c r="H16" s="2"/>
      <c r="I16" s="2"/>
    </row>
    <row r="17" spans="1:9" x14ac:dyDescent="0.25">
      <c r="A17" s="4" t="s">
        <v>7</v>
      </c>
      <c r="B17" s="2" t="str">
        <f ca="1">VLOOKUP(B14,A2:I9,8,0)</f>
        <v>NO</v>
      </c>
      <c r="C17" s="2"/>
      <c r="D17" s="2"/>
      <c r="E17" s="2"/>
      <c r="F17" s="2"/>
      <c r="G17" s="2"/>
      <c r="H17" s="2"/>
      <c r="I17" s="2"/>
    </row>
    <row r="18" spans="1:9" x14ac:dyDescent="0.25">
      <c r="A18" s="4" t="s">
        <v>8</v>
      </c>
      <c r="B18" s="2" t="str">
        <f ca="1">VLOOKUP(B14,A2:I9,9,0)</f>
        <v>SI</v>
      </c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2026-05-25T11:09:15Z</dcterms:created>
  <dcterms:modified xsi:type="dcterms:W3CDTF">2026-05-25T11:53:37Z</dcterms:modified>
</cp:coreProperties>
</file>