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"/>
    </mc:Choice>
  </mc:AlternateContent>
  <xr:revisionPtr revIDLastSave="0" documentId="8_{0EA8CAF7-80EA-4465-8BBF-1E4EA27BC65E}" xr6:coauthVersionLast="47" xr6:coauthVersionMax="47" xr10:uidLastSave="{00000000-0000-0000-0000-000000000000}"/>
  <bookViews>
    <workbookView xWindow="-120" yWindow="-120" windowWidth="20730" windowHeight="11160" activeTab="2" xr2:uid="{0D032964-45B6-4CFA-A654-EE9B8BD83993}"/>
  </bookViews>
  <sheets>
    <sheet name="Ejercicio1" sheetId="1" r:id="rId1"/>
    <sheet name="Ejercicio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3" l="1"/>
  <c r="E9" i="3"/>
  <c r="F9" i="3"/>
  <c r="C9" i="3"/>
  <c r="D8" i="3"/>
  <c r="E8" i="3"/>
  <c r="F8" i="3"/>
  <c r="C8" i="3"/>
  <c r="H5" i="3"/>
  <c r="H6" i="3"/>
  <c r="H7" i="3"/>
  <c r="H4" i="3"/>
  <c r="G5" i="3"/>
  <c r="G6" i="3"/>
  <c r="G7" i="3"/>
  <c r="G4" i="3"/>
  <c r="K8" i="2"/>
  <c r="J8" i="2"/>
  <c r="I8" i="2"/>
  <c r="L7" i="2"/>
  <c r="L6" i="2"/>
  <c r="L5" i="2"/>
  <c r="F6" i="2"/>
  <c r="F7" i="2"/>
  <c r="F8" i="2"/>
  <c r="F5" i="2"/>
  <c r="D8" i="2"/>
  <c r="E8" i="2"/>
  <c r="C8" i="2"/>
  <c r="L8" i="2" l="1"/>
</calcChain>
</file>

<file path=xl/sharedStrings.xml><?xml version="1.0" encoding="utf-8"?>
<sst xmlns="http://schemas.openxmlformats.org/spreadsheetml/2006/main" count="38" uniqueCount="29">
  <si>
    <t>Punta Cana</t>
  </si>
  <si>
    <t>Cancún</t>
  </si>
  <si>
    <t>Riviera Maya</t>
  </si>
  <si>
    <t>Trimestre 1</t>
  </si>
  <si>
    <t>Trimestre 2</t>
  </si>
  <si>
    <t>Trimestre 3</t>
  </si>
  <si>
    <t>Trimestre 4</t>
  </si>
  <si>
    <t>Hard</t>
  </si>
  <si>
    <t>Soft</t>
  </si>
  <si>
    <t>VTAS.2013</t>
  </si>
  <si>
    <t>Ventas 2013</t>
  </si>
  <si>
    <t>Oviedo</t>
  </si>
  <si>
    <t>Gijón</t>
  </si>
  <si>
    <t>Avilés</t>
  </si>
  <si>
    <t>Media</t>
  </si>
  <si>
    <t>Julio</t>
  </si>
  <si>
    <t>Agosto</t>
  </si>
  <si>
    <t>Septiembre</t>
  </si>
  <si>
    <t>Temperaturas máximas</t>
  </si>
  <si>
    <t>Temperaturas mínimas</t>
  </si>
  <si>
    <t>Venezuela</t>
  </si>
  <si>
    <t>MAXIMO</t>
  </si>
  <si>
    <t>MINIMO</t>
  </si>
  <si>
    <t>JULIO</t>
  </si>
  <si>
    <t>AGOSTO</t>
  </si>
  <si>
    <t>NOVIEMBRE</t>
  </si>
  <si>
    <t>DICIEMBRE</t>
  </si>
  <si>
    <t>TOTAL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</si>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</sst>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/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0" fillId="0" borderId="21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3" fontId="0" fillId="0" borderId="0" xfId="0" applyNumberFormat="1" applyBorder="1"/>
    <xf numFmtId="3" fontId="0" fillId="0" borderId="20" xfId="0" applyNumberFormat="1" applyBorder="1"/>
    <xf numFmtId="3" fontId="0" fillId="0" borderId="0" xfId="0" applyNumberFormat="1"/>
    <xf numFmtId="3" fontId="0" fillId="0" borderId="7" xfId="0" applyNumberFormat="1" applyBorder="1"/>
    <xf numFmtId="3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Ventas 2013 Hard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F-4D95-BA1C-B9E51B791061}"/>
            </c:ext>
          </c:extLst>
        </c:ser>
        <c:ser>
          <c:idx val="1"/>
          <c:order val="1"/>
          <c:tx>
            <c:v>Ventas 2013 Soft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F-4D95-BA1C-B9E51B7910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1371375"/>
        <c:axId val="58740806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Ejercicio1!$F$4</c15:sqref>
                        </c15:formulaRef>
                      </c:ext>
                    </c:extLst>
                    <c:strCache>
                      <c:ptCount val="1"/>
                      <c:pt idx="0">
                        <c:v>VTAS.2013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Ejercicio1!$C$5:$C$8</c15:sqref>
                        </c15:formulaRef>
                      </c:ext>
                    </c:extLst>
                    <c:strCache>
                      <c:ptCount val="4"/>
                      <c:pt idx="0">
                        <c:v>Trimestre 1</c:v>
                      </c:pt>
                      <c:pt idx="1">
                        <c:v>Trimestre 2</c:v>
                      </c:pt>
                      <c:pt idx="2">
                        <c:v>Trimestre 3</c:v>
                      </c:pt>
                      <c:pt idx="3">
                        <c:v>Trimestre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Ejercicio1!$F$5:$F$8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62</c:v>
                      </c:pt>
                      <c:pt idx="2">
                        <c:v>78</c:v>
                      </c:pt>
                      <c:pt idx="3">
                        <c:v>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77F-4D95-BA1C-B9E51B791061}"/>
                  </c:ext>
                </c:extLst>
              </c15:ser>
            </c15:filteredBarSeries>
          </c:ext>
        </c:extLst>
      </c:barChart>
      <c:catAx>
        <c:axId val="49137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7408063"/>
        <c:crosses val="autoZero"/>
        <c:auto val="1"/>
        <c:lblAlgn val="ctr"/>
        <c:lblOffset val="100"/>
        <c:noMultiLvlLbl val="0"/>
      </c:catAx>
      <c:valAx>
        <c:axId val="58740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137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</a:t>
            </a:r>
            <a:r>
              <a:rPr lang="es-ES" baseline="0"/>
              <a:t> 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20"/>
      <c:rotY val="3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267637682628731E-2"/>
          <c:y val="0.11747212906062644"/>
          <c:w val="0.75293522278325375"/>
          <c:h val="0.78551306574974655"/>
        </c:manualLayout>
      </c:layout>
      <c:area3DChart>
        <c:grouping val="standard"/>
        <c:varyColors val="0"/>
        <c:ser>
          <c:idx val="0"/>
          <c:order val="0"/>
          <c:tx>
            <c:strRef>
              <c:f>Ejercicio1!$D$4</c:f>
              <c:strCache>
                <c:ptCount val="1"/>
                <c:pt idx="0">
                  <c:v>Hard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0-48B4-9804-1B59F895F7B0}"/>
            </c:ext>
          </c:extLst>
        </c:ser>
        <c:ser>
          <c:idx val="1"/>
          <c:order val="1"/>
          <c:tx>
            <c:strRef>
              <c:f>Ejercicio1!$E$4</c:f>
              <c:strCache>
                <c:ptCount val="1"/>
                <c:pt idx="0">
                  <c:v>Soft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0-48B4-9804-1B59F895F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678463"/>
        <c:axId val="675420063"/>
        <c:axId val="669801119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Ejercicio1!$F$2:$F$4</c15:sqref>
                        </c15:formulaRef>
                      </c:ext>
                    </c:extLst>
                    <c:strCache>
                      <c:ptCount val="3"/>
                      <c:pt idx="0">
                        <c:v>Ventas 2013</c:v>
                      </c:pt>
                      <c:pt idx="2">
                        <c:v>VTAS.2013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cat>
                  <c:strRef>
                    <c:extLst>
                      <c:ext uri="{02D57815-91ED-43cb-92C2-25804820EDAC}">
                        <c15:formulaRef>
                          <c15:sqref>Ejercicio1!$C$5:$C$8</c15:sqref>
                        </c15:formulaRef>
                      </c:ext>
                    </c:extLst>
                    <c:strCache>
                      <c:ptCount val="4"/>
                      <c:pt idx="0">
                        <c:v>Trimestre 1</c:v>
                      </c:pt>
                      <c:pt idx="1">
                        <c:v>Trimestre 2</c:v>
                      </c:pt>
                      <c:pt idx="2">
                        <c:v>Trimestre 3</c:v>
                      </c:pt>
                      <c:pt idx="3">
                        <c:v>Trimestre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Ejercicio1!$F$5:$F$8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</c:v>
                      </c:pt>
                      <c:pt idx="1">
                        <c:v>62</c:v>
                      </c:pt>
                      <c:pt idx="2">
                        <c:v>78</c:v>
                      </c:pt>
                      <c:pt idx="3">
                        <c:v>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8F0-48B4-9804-1B59F895F7B0}"/>
                  </c:ext>
                </c:extLst>
              </c15:ser>
            </c15:filteredAreaSeries>
          </c:ext>
        </c:extLst>
      </c:area3DChart>
      <c:catAx>
        <c:axId val="591678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420063"/>
        <c:crosses val="autoZero"/>
        <c:auto val="1"/>
        <c:lblAlgn val="ctr"/>
        <c:lblOffset val="100"/>
        <c:noMultiLvlLbl val="0"/>
      </c:catAx>
      <c:valAx>
        <c:axId val="67542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1678463"/>
        <c:crosses val="autoZero"/>
        <c:crossBetween val="midCat"/>
      </c:valAx>
      <c:serAx>
        <c:axId val="6698011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5420063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31687292213473323"/>
          <c:y val="0.34054060950714499"/>
          <c:w val="0.35514326334208224"/>
          <c:h val="0.59190543890347036"/>
        </c:manualLayout>
      </c:layout>
      <c:radarChart>
        <c:radarStyle val="marker"/>
        <c:varyColors val="0"/>
        <c:ser>
          <c:idx val="0"/>
          <c:order val="0"/>
          <c:tx>
            <c:strRef>
              <c:f>Ejercicio1!$D$4</c:f>
              <c:strCache>
                <c:ptCount val="1"/>
                <c:pt idx="0">
                  <c:v>Hard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D-47EA-AE67-4D1D41465CD9}"/>
            </c:ext>
          </c:extLst>
        </c:ser>
        <c:ser>
          <c:idx val="1"/>
          <c:order val="1"/>
          <c:tx>
            <c:strRef>
              <c:f>Ejercicio1!$E$4</c:f>
              <c:strCache>
                <c:ptCount val="1"/>
                <c:pt idx="0">
                  <c:v>Soft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D-47EA-AE67-4D1D41465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81359"/>
        <c:axId val="682500335"/>
      </c:radarChart>
      <c:catAx>
        <c:axId val="7479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2500335"/>
        <c:crosses val="autoZero"/>
        <c:auto val="1"/>
        <c:lblAlgn val="ctr"/>
        <c:lblOffset val="100"/>
        <c:noMultiLvlLbl val="0"/>
      </c:catAx>
      <c:valAx>
        <c:axId val="6825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8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Ejercicio1!$D$4</c:f>
              <c:strCache>
                <c:ptCount val="1"/>
                <c:pt idx="0">
                  <c:v>Hard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69850" cap="rnd" cmpd="sng">
                <a:solidFill>
                  <a:schemeClr val="accent5">
                    <a:lumMod val="40000"/>
                    <a:lumOff val="60000"/>
                  </a:schemeClr>
                </a:solidFill>
                <a:prstDash val="dashDot"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trendlineType val="exp"/>
            <c:dispRSqr val="0"/>
            <c:dispEq val="0"/>
          </c:trendline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Ejercicio1!$D$5:$D$8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40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D-4DAD-B55C-073D76FBF151}"/>
            </c:ext>
          </c:extLst>
        </c:ser>
        <c:ser>
          <c:idx val="1"/>
          <c:order val="1"/>
          <c:tx>
            <c:strRef>
              <c:f>Ejercicio1!$E$4</c:f>
              <c:strCache>
                <c:ptCount val="1"/>
                <c:pt idx="0">
                  <c:v>Soft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Ejercicio1!$C$5:$C$8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Ejercicio1!$E$5:$E$8</c:f>
              <c:numCache>
                <c:formatCode>General</c:formatCode>
                <c:ptCount val="4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D-4DAD-B55C-073D76FBF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7992399"/>
        <c:axId val="725890863"/>
      </c:barChart>
      <c:catAx>
        <c:axId val="74799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5890863"/>
        <c:crosses val="autoZero"/>
        <c:auto val="1"/>
        <c:lblAlgn val="ctr"/>
        <c:lblOffset val="100"/>
        <c:noMultiLvlLbl val="0"/>
      </c:catAx>
      <c:valAx>
        <c:axId val="72589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9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Máximas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Ejercicio2!$B$5</c:f>
              <c:strCache>
                <c:ptCount val="1"/>
                <c:pt idx="0">
                  <c:v>Oviedo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Ejercicio2!$C$2:$F$4</c:f>
              <c:multiLvlStrCache>
                <c:ptCount val="4"/>
                <c:lvl>
                  <c:pt idx="0">
                    <c:v>Julio</c:v>
                  </c:pt>
                  <c:pt idx="1">
                    <c:v>Agosto</c:v>
                  </c:pt>
                  <c:pt idx="2">
                    <c:v>Septiembre</c:v>
                  </c:pt>
                  <c:pt idx="3">
                    <c:v>Media</c:v>
                  </c:pt>
                </c:lvl>
                <c:lvl>
                  <c:pt idx="0">
                    <c:v>Temperaturas máximas</c:v>
                  </c:pt>
                </c:lvl>
              </c:multiLvlStrCache>
            </c:multiLvlStrRef>
          </c:cat>
          <c:val>
            <c:numRef>
              <c:f>Ejercicio2!$C$5:$F$5</c:f>
              <c:numCache>
                <c:formatCode>0.00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24</c:v>
                </c:pt>
                <c:pt idx="3">
                  <c:v>26.333333333333332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7-4B0C-9904-373935564195}"/>
            </c:ext>
          </c:extLst>
        </c:ser>
        <c:ser>
          <c:idx val="1"/>
          <c:order val="1"/>
          <c:tx>
            <c:strRef>
              <c:f>Ejercicio2!$B$6</c:f>
              <c:strCache>
                <c:ptCount val="1"/>
                <c:pt idx="0">
                  <c:v>Gijón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Ejercicio2!$C$2:$F$4</c:f>
              <c:multiLvlStrCache>
                <c:ptCount val="4"/>
                <c:lvl>
                  <c:pt idx="0">
                    <c:v>Julio</c:v>
                  </c:pt>
                  <c:pt idx="1">
                    <c:v>Agosto</c:v>
                  </c:pt>
                  <c:pt idx="2">
                    <c:v>Septiembre</c:v>
                  </c:pt>
                  <c:pt idx="3">
                    <c:v>Media</c:v>
                  </c:pt>
                </c:lvl>
                <c:lvl>
                  <c:pt idx="0">
                    <c:v>Temperaturas máximas</c:v>
                  </c:pt>
                </c:lvl>
              </c:multiLvlStrCache>
            </c:multiLvlStrRef>
          </c:cat>
          <c:val>
            <c:numRef>
              <c:f>Ejercicio2!$C$6:$F$6</c:f>
              <c:numCache>
                <c:formatCode>0.00</c:formatCode>
                <c:ptCount val="4"/>
                <c:pt idx="0">
                  <c:v>30</c:v>
                </c:pt>
                <c:pt idx="1">
                  <c:v>32</c:v>
                </c:pt>
                <c:pt idx="2">
                  <c:v>26</c:v>
                </c:pt>
                <c:pt idx="3">
                  <c:v>29.333333333333332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7-4B0C-9904-373935564195}"/>
            </c:ext>
          </c:extLst>
        </c:ser>
        <c:ser>
          <c:idx val="2"/>
          <c:order val="2"/>
          <c:tx>
            <c:strRef>
              <c:f>Ejercicio2!$B$7</c:f>
              <c:strCache>
                <c:ptCount val="1"/>
                <c:pt idx="0">
                  <c:v>Avilés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Ejercicio2!$C$2:$F$4</c:f>
              <c:multiLvlStrCache>
                <c:ptCount val="4"/>
                <c:lvl>
                  <c:pt idx="0">
                    <c:v>Julio</c:v>
                  </c:pt>
                  <c:pt idx="1">
                    <c:v>Agosto</c:v>
                  </c:pt>
                  <c:pt idx="2">
                    <c:v>Septiembre</c:v>
                  </c:pt>
                  <c:pt idx="3">
                    <c:v>Media</c:v>
                  </c:pt>
                </c:lvl>
                <c:lvl>
                  <c:pt idx="0">
                    <c:v>Temperaturas máximas</c:v>
                  </c:pt>
                </c:lvl>
              </c:multiLvlStrCache>
            </c:multiLvlStrRef>
          </c:cat>
          <c:val>
            <c:numRef>
              <c:f>Ejercicio2!$C$7:$F$7</c:f>
              <c:numCache>
                <c:formatCode>0.00</c:formatCode>
                <c:ptCount val="4"/>
                <c:pt idx="0">
                  <c:v>26</c:v>
                </c:pt>
                <c:pt idx="1">
                  <c:v>30</c:v>
                </c:pt>
                <c:pt idx="2">
                  <c:v>26</c:v>
                </c:pt>
                <c:pt idx="3">
                  <c:v>27.333333333333332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7-4B0C-9904-373935564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8020719"/>
        <c:axId val="731722847"/>
        <c:axId val="0"/>
      </c:bar3DChart>
      <c:catAx>
        <c:axId val="74802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1722847"/>
        <c:crosses val="autoZero"/>
        <c:auto val="1"/>
        <c:lblAlgn val="ctr"/>
        <c:lblOffset val="100"/>
        <c:noMultiLvlLbl val="0"/>
      </c:catAx>
      <c:valAx>
        <c:axId val="73172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02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Máximas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619898183867958E-2"/>
          <c:y val="0.14374306848007637"/>
          <c:w val="0.91662022113007691"/>
          <c:h val="0.69263278453829646"/>
        </c:manualLayout>
      </c:layout>
      <c:pie3DChart>
        <c:varyColors val="1"/>
        <c:ser>
          <c:idx val="0"/>
          <c:order val="0"/>
          <c:tx>
            <c:strRef>
              <c:f>Ejercicio2!$C$4</c:f>
              <c:strCache>
                <c:ptCount val="1"/>
                <c:pt idx="0">
                  <c:v>Julio</c:v>
                </c:pt>
              </c:strCache>
            </c:strRef>
          </c:tx>
          <c:explosion val="2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12-4EC4-950E-2A798867C0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12-4EC4-950E-2A798867C0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E12-4EC4-950E-2A798867C0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Ejercicio2!$B$5:$B$7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Ejercicio2!$C$5:$C$7</c:f>
              <c:numCache>
                <c:formatCode>0.00</c:formatCode>
                <c:ptCount val="3"/>
                <c:pt idx="0">
                  <c:v>25</c:v>
                </c:pt>
                <c:pt idx="1">
                  <c:v>30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2-4EC4-950E-2A798867C08C}"/>
            </c:ext>
          </c:extLst>
        </c:ser>
        <c:ser>
          <c:idx val="1"/>
          <c:order val="1"/>
          <c:tx>
            <c:strRef>
              <c:f>Ejercicio2!$D$4</c:f>
              <c:strCache>
                <c:ptCount val="1"/>
                <c:pt idx="0">
                  <c:v>Agosto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spcCol="18000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Ejercicio2!$B$5:$B$7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Ejercicio2!$D$5:$D$7</c:f>
              <c:numCache>
                <c:formatCode>0.00</c:formatCode>
                <c:ptCount val="3"/>
                <c:pt idx="0">
                  <c:v>30</c:v>
                </c:pt>
                <c:pt idx="1">
                  <c:v>32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2-4EC4-950E-2A798867C08C}"/>
            </c:ext>
          </c:extLst>
        </c:ser>
        <c:ser>
          <c:idx val="2"/>
          <c:order val="2"/>
          <c:tx>
            <c:strRef>
              <c:f>Ejercicio2!$E$4</c:f>
              <c:strCache>
                <c:ptCount val="1"/>
                <c:pt idx="0">
                  <c:v>Septiembre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Ejercicio2!$B$5:$B$7</c:f>
              <c:strCache>
                <c:ptCount val="3"/>
                <c:pt idx="0">
                  <c:v>Oviedo</c:v>
                </c:pt>
                <c:pt idx="1">
                  <c:v>Gijón</c:v>
                </c:pt>
                <c:pt idx="2">
                  <c:v>Avilés</c:v>
                </c:pt>
              </c:strCache>
            </c:strRef>
          </c:cat>
          <c:val>
            <c:numRef>
              <c:f>Ejercicio2!$E$5:$E$7</c:f>
              <c:numCache>
                <c:formatCode>0.00</c:formatCode>
                <c:ptCount val="3"/>
                <c:pt idx="0">
                  <c:v>24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2-4EC4-950E-2A798867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Ejercicio2!$H$5</c:f>
              <c:strCache>
                <c:ptCount val="1"/>
                <c:pt idx="0">
                  <c:v>Oviedo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Ejercicio2!$I$4:$K$4</c:f>
              <c:strCache>
                <c:ptCount val="3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</c:strCache>
            </c:strRef>
          </c:cat>
          <c:val>
            <c:numRef>
              <c:f>Ejercicio2!$I$5:$K$5</c:f>
              <c:numCache>
                <c:formatCode>0.00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8-4C54-BEAF-46E914EB49DE}"/>
            </c:ext>
          </c:extLst>
        </c:ser>
        <c:ser>
          <c:idx val="1"/>
          <c:order val="1"/>
          <c:tx>
            <c:strRef>
              <c:f>Ejercicio2!$H$6</c:f>
              <c:strCache>
                <c:ptCount val="1"/>
                <c:pt idx="0">
                  <c:v>Gijón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Ejercicio2!$I$4:$K$4</c:f>
              <c:strCache>
                <c:ptCount val="3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</c:strCache>
            </c:strRef>
          </c:cat>
          <c:val>
            <c:numRef>
              <c:f>Ejercicio2!$I$6:$K$6</c:f>
              <c:numCache>
                <c:formatCode>0.00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8-4C54-BEAF-46E914EB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033679"/>
        <c:axId val="731722351"/>
      </c:barChart>
      <c:lineChart>
        <c:grouping val="standard"/>
        <c:varyColors val="0"/>
        <c:ser>
          <c:idx val="2"/>
          <c:order val="2"/>
          <c:tx>
            <c:strRef>
              <c:f>Ejercicio2!$H$7</c:f>
              <c:strCache>
                <c:ptCount val="1"/>
                <c:pt idx="0">
                  <c:v>Avilés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Ejercicio2!$I$4:$K$4</c:f>
              <c:strCache>
                <c:ptCount val="3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</c:strCache>
            </c:strRef>
          </c:cat>
          <c:val>
            <c:numRef>
              <c:f>Ejercicio2!$I$7:$K$7</c:f>
              <c:numCache>
                <c:formatCode>0.00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F8-4C54-BEAF-46E914EB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994799"/>
        <c:axId val="731721359"/>
      </c:lineChart>
      <c:catAx>
        <c:axId val="74803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1722351"/>
        <c:crosses val="autoZero"/>
        <c:auto val="1"/>
        <c:lblAlgn val="ctr"/>
        <c:lblOffset val="100"/>
        <c:noMultiLvlLbl val="0"/>
      </c:catAx>
      <c:valAx>
        <c:axId val="73172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8033679"/>
        <c:crosses val="autoZero"/>
        <c:crossBetween val="between"/>
      </c:valAx>
      <c:valAx>
        <c:axId val="73172135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94799"/>
        <c:crosses val="max"/>
        <c:crossBetween val="between"/>
      </c:valAx>
      <c:catAx>
        <c:axId val="747994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17213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Mínimas</a:t>
            </a:r>
          </a:p>
        </c:rich>
      </c:tx>
      <c:layout>
        <c:manualLayout>
          <c:xMode val="edge"/>
          <c:yMode val="edge"/>
          <c:x val="0.3775561013072723"/>
          <c:y val="3.448275862068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yVal>
            <c:numRef>
              <c:f>Ejercicio2!$I$8:$K$8</c:f>
              <c:numCache>
                <c:formatCode>0.00</c:formatCode>
                <c:ptCount val="3"/>
                <c:pt idx="0">
                  <c:v>12.333333333333334</c:v>
                </c:pt>
                <c:pt idx="1">
                  <c:v>14.333333333333334</c:v>
                </c:pt>
                <c:pt idx="2">
                  <c:v>11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ABFE-44E5-B33C-5DFD4600A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47995759"/>
        <c:axId val="734494927"/>
      </c:bubbleChart>
      <c:valAx>
        <c:axId val="7479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4494927"/>
        <c:crosses val="autoZero"/>
        <c:crossBetween val="midCat"/>
      </c:valAx>
      <c:valAx>
        <c:axId val="73449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79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</xdr:rowOff>
    </xdr:from>
    <xdr:to>
      <xdr:col>11</xdr:col>
      <xdr:colOff>447675</xdr:colOff>
      <xdr:row>8</xdr:row>
      <xdr:rowOff>38101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3E1061-A0F7-F451-DFCF-A93F51F85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742950</xdr:colOff>
      <xdr:row>8</xdr:row>
      <xdr:rowOff>9525</xdr:rowOff>
    </xdr:from>
    <xdr:to>
      <xdr:col>6</xdr:col>
      <xdr:colOff>628650</xdr:colOff>
      <xdr:row>20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521C0E-B5E3-BD30-5518-7A0B2BA46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590551</xdr:colOff>
      <xdr:row>8</xdr:row>
      <xdr:rowOff>9526</xdr:rowOff>
    </xdr:from>
    <xdr:to>
      <xdr:col>11</xdr:col>
      <xdr:colOff>457201</xdr:colOff>
      <xdr:row>20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79442A-BF89-58B5-19B9-89620ACAC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20</xdr:row>
      <xdr:rowOff>138112</xdr:rowOff>
    </xdr:from>
    <xdr:to>
      <xdr:col>11</xdr:col>
      <xdr:colOff>438150</xdr:colOff>
      <xdr:row>35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E88E01-3626-B5CE-1663-C9A8CF926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8</xdr:row>
      <xdr:rowOff>9525</xdr:rowOff>
    </xdr:from>
    <xdr:to>
      <xdr:col>6</xdr:col>
      <xdr:colOff>38100</xdr:colOff>
      <xdr:row>21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8386F9-D4E3-DFBF-0C12-E4B086F8B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704850</xdr:colOff>
      <xdr:row>21</xdr:row>
      <xdr:rowOff>28575</xdr:rowOff>
    </xdr:from>
    <xdr:to>
      <xdr:col>6</xdr:col>
      <xdr:colOff>28575</xdr:colOff>
      <xdr:row>33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7342C8-5121-0827-9058-3A5353752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752475</xdr:colOff>
      <xdr:row>8</xdr:row>
      <xdr:rowOff>14287</xdr:rowOff>
    </xdr:from>
    <xdr:to>
      <xdr:col>12</xdr:col>
      <xdr:colOff>28575</xdr:colOff>
      <xdr:row>21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5BCAAE-CA94-D76E-B817-9D075711C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742950</xdr:colOff>
      <xdr:row>20</xdr:row>
      <xdr:rowOff>180974</xdr:rowOff>
    </xdr:from>
    <xdr:to>
      <xdr:col>12</xdr:col>
      <xdr:colOff>28575</xdr:colOff>
      <xdr:row>33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42BB473-AFAD-260E-0BA8-EFA6B4899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7266-61FA-4DD7-ACEB-E9180CE02C94}">
  <dimension ref="C1:F8"/>
  <sheetViews>
    <sheetView topLeftCell="A8" zoomScaleNormal="100" workbookViewId="0">
      <selection activeCell="L28" sqref="L28"/>
    </sheetView>
  </sheetViews>
  <sheetFormatPr baseColWidth="10" defaultRowHeight="15" x14ac:dyDescent="0.25"/>
  <sheetData>
    <row r="1" spans="3:6" ht="15.75" thickBot="1" x14ac:dyDescent="0.3"/>
    <row r="2" spans="3:6" x14ac:dyDescent="0.25">
      <c r="C2" s="4" t="s">
        <v>10</v>
      </c>
      <c r="D2" s="5"/>
      <c r="E2" s="5"/>
      <c r="F2" s="6"/>
    </row>
    <row r="3" spans="3:6" ht="15.75" thickBot="1" x14ac:dyDescent="0.3">
      <c r="C3" s="7"/>
      <c r="D3" s="8"/>
      <c r="E3" s="8"/>
      <c r="F3" s="9"/>
    </row>
    <row r="4" spans="3:6" ht="15.75" thickBot="1" x14ac:dyDescent="0.3">
      <c r="C4" s="1"/>
      <c r="D4" s="3" t="s">
        <v>7</v>
      </c>
      <c r="E4" s="3" t="s">
        <v>8</v>
      </c>
      <c r="F4" s="3" t="s">
        <v>9</v>
      </c>
    </row>
    <row r="5" spans="3:6" ht="15.75" thickBot="1" x14ac:dyDescent="0.3">
      <c r="C5" s="2" t="s">
        <v>3</v>
      </c>
      <c r="D5" s="10">
        <v>20</v>
      </c>
      <c r="E5" s="10">
        <v>30</v>
      </c>
      <c r="F5" s="10">
        <v>50</v>
      </c>
    </row>
    <row r="6" spans="3:6" ht="15.75" thickBot="1" x14ac:dyDescent="0.3">
      <c r="C6" s="2" t="s">
        <v>4</v>
      </c>
      <c r="D6" s="11">
        <v>27</v>
      </c>
      <c r="E6" s="11">
        <v>35</v>
      </c>
      <c r="F6" s="11">
        <v>62</v>
      </c>
    </row>
    <row r="7" spans="3:6" ht="15.75" thickBot="1" x14ac:dyDescent="0.3">
      <c r="C7" s="2" t="s">
        <v>5</v>
      </c>
      <c r="D7" s="11">
        <v>40</v>
      </c>
      <c r="E7" s="11">
        <v>38</v>
      </c>
      <c r="F7" s="11">
        <v>78</v>
      </c>
    </row>
    <row r="8" spans="3:6" ht="15.75" thickBot="1" x14ac:dyDescent="0.3">
      <c r="C8" s="2" t="s">
        <v>6</v>
      </c>
      <c r="D8" s="12">
        <v>39</v>
      </c>
      <c r="E8" s="12">
        <v>53</v>
      </c>
      <c r="F8" s="12">
        <v>92</v>
      </c>
    </row>
  </sheetData>
  <mergeCells count="1">
    <mergeCell ref="C2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0335-0CBD-4D87-AB84-3A3D318C5172}">
  <dimension ref="B1:L8"/>
  <sheetViews>
    <sheetView topLeftCell="C13" workbookViewId="0">
      <selection activeCell="N32" sqref="N32"/>
    </sheetView>
  </sheetViews>
  <sheetFormatPr baseColWidth="10" defaultRowHeight="15" x14ac:dyDescent="0.25"/>
  <sheetData>
    <row r="1" spans="2:12" ht="15.75" thickBot="1" x14ac:dyDescent="0.3"/>
    <row r="2" spans="2:12" x14ac:dyDescent="0.25">
      <c r="C2" s="14" t="s">
        <v>18</v>
      </c>
      <c r="D2" s="15"/>
      <c r="E2" s="15"/>
      <c r="F2" s="16"/>
      <c r="I2" s="14" t="s">
        <v>19</v>
      </c>
      <c r="J2" s="15"/>
      <c r="K2" s="15"/>
      <c r="L2" s="16"/>
    </row>
    <row r="3" spans="2:12" ht="15.75" thickBot="1" x14ac:dyDescent="0.3">
      <c r="B3" s="20"/>
      <c r="C3" s="17"/>
      <c r="D3" s="18"/>
      <c r="E3" s="18"/>
      <c r="F3" s="19"/>
      <c r="H3" s="20"/>
      <c r="I3" s="17"/>
      <c r="J3" s="18"/>
      <c r="K3" s="18"/>
      <c r="L3" s="19"/>
    </row>
    <row r="4" spans="2:12" ht="15.75" thickBot="1" x14ac:dyDescent="0.3">
      <c r="B4" s="13"/>
      <c r="C4" s="26" t="s">
        <v>15</v>
      </c>
      <c r="D4" s="26" t="s">
        <v>16</v>
      </c>
      <c r="E4" s="26" t="s">
        <v>17</v>
      </c>
      <c r="F4" s="26" t="s">
        <v>14</v>
      </c>
      <c r="H4" s="13"/>
      <c r="I4" s="26" t="s">
        <v>15</v>
      </c>
      <c r="J4" s="26" t="s">
        <v>16</v>
      </c>
      <c r="K4" s="26" t="s">
        <v>17</v>
      </c>
      <c r="L4" s="26" t="s">
        <v>14</v>
      </c>
    </row>
    <row r="5" spans="2:12" x14ac:dyDescent="0.25">
      <c r="B5" s="13" t="s">
        <v>11</v>
      </c>
      <c r="C5" s="21">
        <v>25</v>
      </c>
      <c r="D5" s="21">
        <v>30</v>
      </c>
      <c r="E5" s="21">
        <v>24</v>
      </c>
      <c r="F5" s="21">
        <f>AVERAGE(C5,D5,E5)</f>
        <v>26.333333333333332</v>
      </c>
      <c r="H5" s="13" t="s">
        <v>11</v>
      </c>
      <c r="I5" s="21">
        <v>10</v>
      </c>
      <c r="J5" s="21">
        <v>12</v>
      </c>
      <c r="K5" s="21">
        <v>10</v>
      </c>
      <c r="L5" s="21">
        <f>AVERAGE(I5,J5,K5)</f>
        <v>10.666666666666666</v>
      </c>
    </row>
    <row r="6" spans="2:12" x14ac:dyDescent="0.25">
      <c r="B6" s="13" t="s">
        <v>12</v>
      </c>
      <c r="C6" s="22">
        <v>30</v>
      </c>
      <c r="D6" s="22">
        <v>32</v>
      </c>
      <c r="E6" s="22">
        <v>26</v>
      </c>
      <c r="F6" s="22">
        <f t="shared" ref="F6:F8" si="0">AVERAGE(C6,D6,E6)</f>
        <v>29.333333333333332</v>
      </c>
      <c r="H6" s="13" t="s">
        <v>12</v>
      </c>
      <c r="I6" s="22">
        <v>15</v>
      </c>
      <c r="J6" s="22">
        <v>15</v>
      </c>
      <c r="K6" s="22">
        <v>12</v>
      </c>
      <c r="L6" s="22">
        <f t="shared" ref="L6:L8" si="1">AVERAGE(I6,J6,K6)</f>
        <v>14</v>
      </c>
    </row>
    <row r="7" spans="2:12" ht="15.75" thickBot="1" x14ac:dyDescent="0.3">
      <c r="B7" s="13" t="s">
        <v>13</v>
      </c>
      <c r="C7" s="23">
        <v>26</v>
      </c>
      <c r="D7" s="23">
        <v>30</v>
      </c>
      <c r="E7" s="23">
        <v>26</v>
      </c>
      <c r="F7" s="23">
        <f t="shared" si="0"/>
        <v>27.333333333333332</v>
      </c>
      <c r="H7" s="13" t="s">
        <v>13</v>
      </c>
      <c r="I7" s="23">
        <v>12</v>
      </c>
      <c r="J7" s="23">
        <v>16</v>
      </c>
      <c r="K7" s="23">
        <v>11</v>
      </c>
      <c r="L7" s="23">
        <f t="shared" si="1"/>
        <v>13</v>
      </c>
    </row>
    <row r="8" spans="2:12" ht="15.75" thickBot="1" x14ac:dyDescent="0.3">
      <c r="B8" s="13" t="s">
        <v>14</v>
      </c>
      <c r="C8" s="24">
        <f>AVERAGE(C5,C6,C7)</f>
        <v>27</v>
      </c>
      <c r="D8" s="24">
        <f t="shared" ref="D8:E8" si="2">AVERAGE(D5,D6,D7)</f>
        <v>30.666666666666668</v>
      </c>
      <c r="E8" s="24">
        <f t="shared" si="2"/>
        <v>25.333333333333332</v>
      </c>
      <c r="F8" s="25">
        <f t="shared" si="0"/>
        <v>27.666666666666668</v>
      </c>
      <c r="H8" s="13" t="s">
        <v>14</v>
      </c>
      <c r="I8" s="24">
        <f>AVERAGE(I5,I6,I7)</f>
        <v>12.333333333333334</v>
      </c>
      <c r="J8" s="24">
        <f t="shared" ref="J8" si="3">AVERAGE(J5,J6,J7)</f>
        <v>14.333333333333334</v>
      </c>
      <c r="K8" s="24">
        <f t="shared" ref="K8" si="4">AVERAGE(K5,K6,K7)</f>
        <v>11</v>
      </c>
      <c r="L8" s="25">
        <f t="shared" si="1"/>
        <v>12.555555555555557</v>
      </c>
    </row>
  </sheetData>
  <mergeCells count="2">
    <mergeCell ref="C2:F3"/>
    <mergeCell ref="I2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AE4E-C994-47CE-A00C-9D736AD0938D}">
  <dimension ref="B2:H12"/>
  <sheetViews>
    <sheetView tabSelected="1" workbookViewId="0">
      <selection activeCell="K20" sqref="K20"/>
    </sheetView>
  </sheetViews>
  <sheetFormatPr baseColWidth="10" defaultRowHeight="15" x14ac:dyDescent="0.25"/>
  <sheetData>
    <row r="2" spans="2:8" ht="15.75" thickBot="1" x14ac:dyDescent="0.3"/>
    <row r="3" spans="2:8" ht="15.75" thickBot="1" x14ac:dyDescent="0.3">
      <c r="C3" s="28" t="s">
        <v>23</v>
      </c>
      <c r="D3" s="31" t="s">
        <v>24</v>
      </c>
      <c r="E3" s="31" t="s">
        <v>25</v>
      </c>
      <c r="F3" s="32" t="s">
        <v>26</v>
      </c>
      <c r="G3" t="s">
        <v>27</v>
      </c>
      <c r="H3" t="s">
        <v>28</v>
      </c>
    </row>
    <row r="4" spans="2:8" x14ac:dyDescent="0.25">
      <c r="B4" s="28" t="s">
        <v>0</v>
      </c>
      <c r="C4" s="33">
        <v>125000</v>
      </c>
      <c r="D4" s="33">
        <v>128000</v>
      </c>
      <c r="E4" s="33">
        <v>115000</v>
      </c>
      <c r="F4" s="34">
        <v>120000</v>
      </c>
      <c r="G4" s="35">
        <f>SUM(C4:F4)</f>
        <v>488000</v>
      </c>
      <c r="H4" s="35">
        <f>AVERAGE(C4:G4)</f>
        <v>195200</v>
      </c>
    </row>
    <row r="5" spans="2:8" x14ac:dyDescent="0.25">
      <c r="B5" s="29" t="s">
        <v>1</v>
      </c>
      <c r="C5" s="33">
        <v>160000</v>
      </c>
      <c r="D5" s="33">
        <v>168000</v>
      </c>
      <c r="E5" s="33">
        <v>125000</v>
      </c>
      <c r="F5" s="34">
        <v>130000</v>
      </c>
      <c r="G5" s="35">
        <f t="shared" ref="G5:G7" si="0">SUM(C5:F5)</f>
        <v>583000</v>
      </c>
      <c r="H5" s="35">
        <f t="shared" ref="H5:H7" si="1">AVERAGE(C5:G5)</f>
        <v>233200</v>
      </c>
    </row>
    <row r="6" spans="2:8" x14ac:dyDescent="0.25">
      <c r="B6" s="29" t="s">
        <v>2</v>
      </c>
      <c r="C6" s="33">
        <v>115000</v>
      </c>
      <c r="D6" s="33">
        <v>140000</v>
      </c>
      <c r="E6" s="33">
        <v>105000</v>
      </c>
      <c r="F6" s="34">
        <v>120000</v>
      </c>
      <c r="G6" s="35">
        <f t="shared" si="0"/>
        <v>480000</v>
      </c>
      <c r="H6" s="35">
        <f t="shared" si="1"/>
        <v>192000</v>
      </c>
    </row>
    <row r="7" spans="2:8" ht="15.75" thickBot="1" x14ac:dyDescent="0.3">
      <c r="B7" s="30" t="s">
        <v>20</v>
      </c>
      <c r="C7" s="36">
        <v>145000</v>
      </c>
      <c r="D7" s="36">
        <v>160000</v>
      </c>
      <c r="E7" s="36">
        <v>130000</v>
      </c>
      <c r="F7" s="37">
        <v>140000</v>
      </c>
      <c r="G7" s="35">
        <f t="shared" si="0"/>
        <v>575000</v>
      </c>
      <c r="H7" s="35">
        <f t="shared" si="1"/>
        <v>230000</v>
      </c>
    </row>
    <row r="8" spans="2:8" x14ac:dyDescent="0.25">
      <c r="B8" t="s">
        <v>21</v>
      </c>
      <c r="C8" s="35">
        <f>MAX(C4:C7)</f>
        <v>160000</v>
      </c>
      <c r="D8" s="35">
        <f t="shared" ref="D8:F8" si="2">MAX(D4:D7)</f>
        <v>168000</v>
      </c>
      <c r="E8" s="35">
        <f t="shared" si="2"/>
        <v>130000</v>
      </c>
      <c r="F8" s="35">
        <f t="shared" si="2"/>
        <v>140000</v>
      </c>
      <c r="G8" s="35"/>
      <c r="H8" s="35"/>
    </row>
    <row r="9" spans="2:8" x14ac:dyDescent="0.25">
      <c r="B9" t="s">
        <v>22</v>
      </c>
      <c r="C9" s="35">
        <f>MIN(C4:C7)</f>
        <v>115000</v>
      </c>
      <c r="D9" s="35">
        <f t="shared" ref="D9:F9" si="3">MIN(D4:D7)</f>
        <v>128000</v>
      </c>
      <c r="E9" s="35">
        <f t="shared" si="3"/>
        <v>105000</v>
      </c>
      <c r="F9" s="35">
        <f t="shared" si="3"/>
        <v>120000</v>
      </c>
      <c r="G9" s="35"/>
      <c r="H9" s="35"/>
    </row>
    <row r="12" spans="2:8" x14ac:dyDescent="0.25">
      <c r="G1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Ejercicio1</vt:lpstr>
      <vt:lpstr>Ejercicio2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2026-05-27T10:41:26Z</dcterms:created>
  <dcterms:modified xsi:type="dcterms:W3CDTF">2026-05-27T11:58:46Z</dcterms:modified>
</cp:coreProperties>
</file>