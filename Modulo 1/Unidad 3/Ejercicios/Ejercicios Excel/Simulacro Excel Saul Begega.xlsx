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 DBA\"/>
    </mc:Choice>
  </mc:AlternateContent>
  <xr:revisionPtr revIDLastSave="0" documentId="8_{01AEADA0-DB76-45E7-B968-51F6B75580C7}" xr6:coauthVersionLast="47" xr6:coauthVersionMax="47" xr10:uidLastSave="{00000000-0000-0000-0000-000000000000}"/>
  <bookViews>
    <workbookView xWindow="-120" yWindow="-120" windowWidth="20730" windowHeight="11160" xr2:uid="{33539848-BF51-4A63-8197-3C0A89516916}"/>
  </bookViews>
  <sheets>
    <sheet name="EJERCICIO1y2" sheetId="1" r:id="rId1"/>
    <sheet name="EJERCICIO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5" i="3" l="1"/>
  <c r="F22" i="3"/>
  <c r="F23" i="3"/>
  <c r="F24" i="3"/>
  <c r="F21" i="3"/>
  <c r="J9" i="3"/>
  <c r="J10" i="3"/>
  <c r="J11" i="3"/>
  <c r="J12" i="3"/>
  <c r="J13" i="3"/>
  <c r="J14" i="3"/>
  <c r="J15" i="3"/>
  <c r="J8" i="3"/>
  <c r="L5" i="1"/>
  <c r="L6" i="1"/>
  <c r="L7" i="1"/>
  <c r="L8" i="1"/>
  <c r="L9" i="1"/>
  <c r="L10" i="1"/>
  <c r="L4" i="1"/>
  <c r="K5" i="1"/>
  <c r="K6" i="1"/>
  <c r="K7" i="1"/>
  <c r="K8" i="1"/>
  <c r="K9" i="1"/>
  <c r="K10" i="1"/>
  <c r="K4" i="1"/>
  <c r="J5" i="1"/>
  <c r="J6" i="1"/>
  <c r="J7" i="1"/>
  <c r="J8" i="1"/>
  <c r="J9" i="1"/>
  <c r="J10" i="1"/>
  <c r="J4" i="1"/>
  <c r="I5" i="1"/>
  <c r="I6" i="1"/>
  <c r="I7" i="1"/>
  <c r="I8" i="1"/>
  <c r="I9" i="1"/>
  <c r="I10" i="1"/>
  <c r="I4" i="1"/>
</calcChain>
</file>

<file path=xl/sharedStrings.xml><?xml version="1.0" encoding="utf-8"?>
<sst xmlns="http://schemas.openxmlformats.org/spreadsheetml/2006/main" count="70" uniqueCount="63">
  <si>
    <t>Nombre</t>
  </si>
  <si>
    <t>Unidades Vendidas</t>
  </si>
  <si>
    <t>Ventas</t>
  </si>
  <si>
    <t>Comisión</t>
  </si>
  <si>
    <t>Sueldo Bruto</t>
  </si>
  <si>
    <t>Sueldo Neto</t>
  </si>
  <si>
    <t>Alejandro Sánchez</t>
  </si>
  <si>
    <t>Dolores García</t>
  </si>
  <si>
    <t>Estrella Gómez</t>
  </si>
  <si>
    <t>José Martín</t>
  </si>
  <si>
    <t>Juan Rodríguez</t>
  </si>
  <si>
    <t>Roberto Lozano</t>
  </si>
  <si>
    <t>Rosa Méndez</t>
  </si>
  <si>
    <t>Variables</t>
  </si>
  <si>
    <t>Sueldo Fijo</t>
  </si>
  <si>
    <t>Precio Unidad</t>
  </si>
  <si>
    <t>Comisión Venta</t>
  </si>
  <si>
    <t>I.R.P.F.</t>
  </si>
  <si>
    <t>Seguridad Social</t>
  </si>
  <si>
    <t>Coste Comisión</t>
  </si>
  <si>
    <t>HECHO CON LAS FÓRMULAS</t>
  </si>
  <si>
    <t>PAGO</t>
  </si>
  <si>
    <t>Contado</t>
  </si>
  <si>
    <t>60 días</t>
  </si>
  <si>
    <t>90 días</t>
  </si>
  <si>
    <t>120 días</t>
  </si>
  <si>
    <t>Otros</t>
  </si>
  <si>
    <t>LISTA DE CLIENTES</t>
  </si>
  <si>
    <t>CLAVE</t>
  </si>
  <si>
    <t>SN</t>
  </si>
  <si>
    <t>SYM</t>
  </si>
  <si>
    <t>ROM</t>
  </si>
  <si>
    <t>STR</t>
  </si>
  <si>
    <t>HRF</t>
  </si>
  <si>
    <t>LIS</t>
  </si>
  <si>
    <t>SDR</t>
  </si>
  <si>
    <t>STA</t>
  </si>
  <si>
    <t>NOMBRE</t>
  </si>
  <si>
    <t>SINTETIC S.A</t>
  </si>
  <si>
    <t>SYMBOL S.R.L</t>
  </si>
  <si>
    <t>ROMEU S.A</t>
  </si>
  <si>
    <t>STRATOS S.COOP</t>
  </si>
  <si>
    <t>HEFAME</t>
  </si>
  <si>
    <t>LIST S.A</t>
  </si>
  <si>
    <t>SADISTIC S.R.L</t>
  </si>
  <si>
    <t>DIRECCION</t>
  </si>
  <si>
    <t>Ronda de Poniente, 12</t>
  </si>
  <si>
    <t>Alcaraz, 33</t>
  </si>
  <si>
    <t>Decepción, 9</t>
  </si>
  <si>
    <t>Tuguiro, 1</t>
  </si>
  <si>
    <t>Obispo Orbera</t>
  </si>
  <si>
    <t>Paralelo, 22</t>
  </si>
  <si>
    <t>Osuna, 11</t>
  </si>
  <si>
    <t>Importe</t>
  </si>
  <si>
    <t>IMPORTE</t>
  </si>
  <si>
    <t>DESCRIPCIÓN</t>
  </si>
  <si>
    <t>Introduzca una clave:</t>
  </si>
  <si>
    <t>Datos del Cliente:</t>
  </si>
  <si>
    <t>Clave</t>
  </si>
  <si>
    <t>Dirección</t>
  </si>
  <si>
    <t>Modalidad de pago</t>
  </si>
  <si>
    <t>SINDREU S.A</t>
  </si>
  <si>
    <t>Hermandaz,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</si>
</sst>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,##0\ &quot;€&quot;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/>
    </xf>
    <xf numFmtId="167" fontId="0" fillId="0" borderId="6" xfId="0" applyNumberFormat="1" applyBorder="1"/>
    <xf numFmtId="167" fontId="0" fillId="0" borderId="7" xfId="0" applyNumberFormat="1" applyBorder="1"/>
    <xf numFmtId="167" fontId="0" fillId="0" borderId="8" xfId="0" applyNumberFormat="1" applyBorder="1"/>
    <xf numFmtId="167" fontId="0" fillId="0" borderId="9" xfId="0" applyNumberFormat="1" applyBorder="1"/>
    <xf numFmtId="167" fontId="0" fillId="0" borderId="10" xfId="0" applyNumberFormat="1" applyBorder="1"/>
    <xf numFmtId="167" fontId="0" fillId="0" borderId="11" xfId="0" applyNumberFormat="1" applyBorder="1"/>
    <xf numFmtId="0" fontId="2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67" fontId="8" fillId="0" borderId="13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167" fontId="8" fillId="0" borderId="19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7" fontId="9" fillId="0" borderId="16" xfId="0" applyNumberFormat="1" applyFont="1" applyBorder="1" applyAlignment="1">
      <alignment horizontal="center" vertical="center"/>
    </xf>
    <xf numFmtId="167" fontId="9" fillId="0" borderId="17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3" fontId="0" fillId="0" borderId="22" xfId="0" applyNumberFormat="1" applyBorder="1" applyAlignment="1">
      <alignment horizontal="center" vertical="center"/>
    </xf>
    <xf numFmtId="167" fontId="0" fillId="0" borderId="22" xfId="0" applyNumberFormat="1" applyBorder="1" applyAlignment="1">
      <alignment horizontal="center" vertical="center"/>
    </xf>
    <xf numFmtId="167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7" fontId="0" fillId="0" borderId="25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167" fontId="0" fillId="0" borderId="27" xfId="0" applyNumberFormat="1" applyBorder="1" applyAlignment="1">
      <alignment horizontal="center" vertical="center"/>
    </xf>
    <xf numFmtId="167" fontId="0" fillId="0" borderId="28" xfId="0" applyNumberFormat="1" applyBorder="1" applyAlignment="1">
      <alignment horizontal="center" vertical="center"/>
    </xf>
    <xf numFmtId="0" fontId="4" fillId="0" borderId="5" xfId="0" applyFont="1" applyBorder="1" applyAlignment="1">
      <alignment horizontal="right"/>
    </xf>
    <xf numFmtId="0" fontId="2" fillId="0" borderId="12" xfId="0" applyFont="1" applyBorder="1" applyAlignment="1">
      <alignment horizontal="center" vertical="center"/>
    </xf>
    <xf numFmtId="167" fontId="0" fillId="0" borderId="13" xfId="0" applyNumberFormat="1" applyBorder="1" applyAlignment="1">
      <alignment horizontal="right"/>
    </xf>
    <xf numFmtId="167" fontId="0" fillId="0" borderId="14" xfId="0" applyNumberFormat="1" applyBorder="1" applyAlignment="1">
      <alignment horizontal="right"/>
    </xf>
    <xf numFmtId="0" fontId="2" fillId="0" borderId="15" xfId="0" applyFont="1" applyBorder="1" applyAlignment="1">
      <alignment horizontal="center" vertical="center"/>
    </xf>
    <xf numFmtId="167" fontId="0" fillId="0" borderId="16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9" fontId="0" fillId="0" borderId="16" xfId="0" applyNumberFormat="1" applyBorder="1" applyAlignment="1">
      <alignment horizontal="right"/>
    </xf>
    <xf numFmtId="0" fontId="0" fillId="0" borderId="17" xfId="0" applyBorder="1" applyAlignment="1">
      <alignment horizontal="right"/>
    </xf>
    <xf numFmtId="0" fontId="2" fillId="0" borderId="18" xfId="0" applyFont="1" applyBorder="1" applyAlignment="1">
      <alignment horizontal="center" vertical="center"/>
    </xf>
    <xf numFmtId="9" fontId="0" fillId="0" borderId="19" xfId="0" applyNumberFormat="1" applyBorder="1" applyAlignment="1">
      <alignment horizontal="right"/>
    </xf>
    <xf numFmtId="0" fontId="0" fillId="0" borderId="2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Sueldo</a:t>
            </a:r>
            <a:r>
              <a:rPr lang="es-ES" b="1" baseline="0"/>
              <a:t> de Comerciantes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Sueldo Bruto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EJERCICIO1y2!$B$4:$B$10</c:f>
              <c:strCache>
                <c:ptCount val="7"/>
                <c:pt idx="0">
                  <c:v>Alejandro Sánchez</c:v>
                </c:pt>
                <c:pt idx="1">
                  <c:v>Dolores García</c:v>
                </c:pt>
                <c:pt idx="2">
                  <c:v>Estrella Gómez</c:v>
                </c:pt>
                <c:pt idx="3">
                  <c:v>José Martín</c:v>
                </c:pt>
                <c:pt idx="4">
                  <c:v>Juan Rodríguez</c:v>
                </c:pt>
                <c:pt idx="5">
                  <c:v>Roberto Lozano</c:v>
                </c:pt>
                <c:pt idx="6">
                  <c:v>Rosa Méndez</c:v>
                </c:pt>
              </c:strCache>
            </c:strRef>
          </c:cat>
          <c:val>
            <c:numRef>
              <c:f>EJERCICIO1y2!$F$4:$F$10</c:f>
              <c:numCache>
                <c:formatCode>#,##0\ "€"</c:formatCode>
                <c:ptCount val="7"/>
                <c:pt idx="0">
                  <c:v>1783</c:v>
                </c:pt>
                <c:pt idx="1">
                  <c:v>2250</c:v>
                </c:pt>
                <c:pt idx="2">
                  <c:v>1865</c:v>
                </c:pt>
                <c:pt idx="3">
                  <c:v>2360</c:v>
                </c:pt>
                <c:pt idx="4">
                  <c:v>1623</c:v>
                </c:pt>
                <c:pt idx="5">
                  <c:v>1530</c:v>
                </c:pt>
                <c:pt idx="6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F-413D-9633-0D1579F208B4}"/>
            </c:ext>
          </c:extLst>
        </c:ser>
        <c:ser>
          <c:idx val="1"/>
          <c:order val="1"/>
          <c:tx>
            <c:strRef>
              <c:f>EJERCICIO1y2!$G$3</c:f>
              <c:strCache>
                <c:ptCount val="1"/>
                <c:pt idx="0">
                  <c:v>Sueldo Neto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EJERCICIO1y2!$B$4:$B$10</c:f>
              <c:strCache>
                <c:ptCount val="7"/>
                <c:pt idx="0">
                  <c:v>Alejandro Sánchez</c:v>
                </c:pt>
                <c:pt idx="1">
                  <c:v>Dolores García</c:v>
                </c:pt>
                <c:pt idx="2">
                  <c:v>Estrella Gómez</c:v>
                </c:pt>
                <c:pt idx="3">
                  <c:v>José Martín</c:v>
                </c:pt>
                <c:pt idx="4">
                  <c:v>Juan Rodríguez</c:v>
                </c:pt>
                <c:pt idx="5">
                  <c:v>Roberto Lozano</c:v>
                </c:pt>
                <c:pt idx="6">
                  <c:v>Rosa Méndez</c:v>
                </c:pt>
              </c:strCache>
            </c:strRef>
          </c:cat>
          <c:val>
            <c:numRef>
              <c:f>EJERCICIO1y2!$G$4:$G$10</c:f>
              <c:numCache>
                <c:formatCode>#,##0\ "€"</c:formatCode>
                <c:ptCount val="7"/>
                <c:pt idx="0">
                  <c:v>1426</c:v>
                </c:pt>
                <c:pt idx="1">
                  <c:v>1800</c:v>
                </c:pt>
                <c:pt idx="2">
                  <c:v>1492</c:v>
                </c:pt>
                <c:pt idx="3">
                  <c:v>1888</c:v>
                </c:pt>
                <c:pt idx="4">
                  <c:v>1298</c:v>
                </c:pt>
                <c:pt idx="5">
                  <c:v>1224</c:v>
                </c:pt>
                <c:pt idx="6">
                  <c:v>1360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EF-413D-9633-0D1579F20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082960"/>
        <c:axId val="600815872"/>
      </c:radarChart>
      <c:catAx>
        <c:axId val="58708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0815872"/>
        <c:crosses val="autoZero"/>
        <c:auto val="1"/>
        <c:lblAlgn val="ctr"/>
        <c:lblOffset val="100"/>
        <c:noMultiLvlLbl val="0"/>
      </c:catAx>
      <c:valAx>
        <c:axId val="600815872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7082960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Sueldo de Comerciantes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view3D>
      <c:rotX val="10"/>
      <c:rotY val="30"/>
      <c:depthPercent val="100"/>
      <c:rAngAx val="0"/>
      <c:perspective val="10"/>
    </c:view3D>
    <c:floor>
      <c:thickness val="0"/>
      <c:spPr>
        <a:solidFill>
          <a:schemeClr val="tx1"/>
        </a:solidFill>
        <a:ln>
          <a:noFill/>
        </a:ln>
        <a:effectLst>
          <a:innerShdw blurRad="63500" dist="12700" dir="13500000">
            <a:prstClr val="black">
              <a:alpha val="50000"/>
            </a:prstClr>
          </a:innerShdw>
        </a:effectLst>
        <a:sp3d/>
      </c:spPr>
    </c:floor>
    <c:sideWall>
      <c:thickness val="0"/>
      <c:spPr>
        <a:solidFill>
          <a:schemeClr val="tx1"/>
        </a:solidFill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2349450294616788E-2"/>
          <c:y val="0.13623990772779701"/>
          <c:w val="0.64369815218880766"/>
          <c:h val="0.77980037962382731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EJERCICIO1y2!$F$3</c:f>
              <c:strCache>
                <c:ptCount val="1"/>
                <c:pt idx="0">
                  <c:v>Sueldo Bruto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EJERCICIO1y2!$B$4:$B$10</c:f>
              <c:strCache>
                <c:ptCount val="7"/>
                <c:pt idx="0">
                  <c:v>Alejandro Sánchez</c:v>
                </c:pt>
                <c:pt idx="1">
                  <c:v>Dolores García</c:v>
                </c:pt>
                <c:pt idx="2">
                  <c:v>Estrella Gómez</c:v>
                </c:pt>
                <c:pt idx="3">
                  <c:v>José Martín</c:v>
                </c:pt>
                <c:pt idx="4">
                  <c:v>Juan Rodríguez</c:v>
                </c:pt>
                <c:pt idx="5">
                  <c:v>Roberto Lozano</c:v>
                </c:pt>
                <c:pt idx="6">
                  <c:v>Rosa Méndez</c:v>
                </c:pt>
              </c:strCache>
            </c:strRef>
          </c:cat>
          <c:val>
            <c:numRef>
              <c:f>EJERCICIO1y2!$F$4:$F$10</c:f>
              <c:numCache>
                <c:formatCode>#,##0\ "€"</c:formatCode>
                <c:ptCount val="7"/>
                <c:pt idx="0">
                  <c:v>1783</c:v>
                </c:pt>
                <c:pt idx="1">
                  <c:v>2250</c:v>
                </c:pt>
                <c:pt idx="2">
                  <c:v>1865</c:v>
                </c:pt>
                <c:pt idx="3">
                  <c:v>2360</c:v>
                </c:pt>
                <c:pt idx="4">
                  <c:v>1623</c:v>
                </c:pt>
                <c:pt idx="5">
                  <c:v>1530</c:v>
                </c:pt>
                <c:pt idx="6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C-462D-B7D6-EC7CB4FD0989}"/>
            </c:ext>
          </c:extLst>
        </c:ser>
        <c:ser>
          <c:idx val="1"/>
          <c:order val="1"/>
          <c:tx>
            <c:strRef>
              <c:f>EJERCICIO1y2!$G$3</c:f>
              <c:strCache>
                <c:ptCount val="1"/>
                <c:pt idx="0">
                  <c:v>Sueldo Neto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EJERCICIO1y2!$B$4:$B$10</c:f>
              <c:strCache>
                <c:ptCount val="7"/>
                <c:pt idx="0">
                  <c:v>Alejandro Sánchez</c:v>
                </c:pt>
                <c:pt idx="1">
                  <c:v>Dolores García</c:v>
                </c:pt>
                <c:pt idx="2">
                  <c:v>Estrella Gómez</c:v>
                </c:pt>
                <c:pt idx="3">
                  <c:v>José Martín</c:v>
                </c:pt>
                <c:pt idx="4">
                  <c:v>Juan Rodríguez</c:v>
                </c:pt>
                <c:pt idx="5">
                  <c:v>Roberto Lozano</c:v>
                </c:pt>
                <c:pt idx="6">
                  <c:v>Rosa Méndez</c:v>
                </c:pt>
              </c:strCache>
            </c:strRef>
          </c:cat>
          <c:val>
            <c:numRef>
              <c:f>EJERCICIO1y2!$G$4:$G$10</c:f>
              <c:numCache>
                <c:formatCode>#,##0\ "€"</c:formatCode>
                <c:ptCount val="7"/>
                <c:pt idx="0">
                  <c:v>1426</c:v>
                </c:pt>
                <c:pt idx="1">
                  <c:v>1800</c:v>
                </c:pt>
                <c:pt idx="2">
                  <c:v>1492</c:v>
                </c:pt>
                <c:pt idx="3">
                  <c:v>1888</c:v>
                </c:pt>
                <c:pt idx="4">
                  <c:v>1298</c:v>
                </c:pt>
                <c:pt idx="5">
                  <c:v>1224</c:v>
                </c:pt>
                <c:pt idx="6">
                  <c:v>1360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8C-462D-B7D6-EC7CB4FD0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pyramid"/>
        <c:axId val="587070960"/>
        <c:axId val="633530416"/>
        <c:axId val="0"/>
      </c:bar3DChart>
      <c:catAx>
        <c:axId val="58707096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3530416"/>
        <c:crosses val="autoZero"/>
        <c:auto val="1"/>
        <c:lblAlgn val="ctr"/>
        <c:lblOffset val="100"/>
        <c:noMultiLvlLbl val="0"/>
      </c:catAx>
      <c:valAx>
        <c:axId val="633530416"/>
        <c:scaling>
          <c:orientation val="maxMin"/>
          <c:max val="6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7070960"/>
        <c:crosses val="autoZero"/>
        <c:crossBetween val="between"/>
        <c:majorUnit val="2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Sueldo</a:t>
            </a:r>
            <a:r>
              <a:rPr lang="es-ES" b="1" baseline="0"/>
              <a:t> Neto</a:t>
            </a:r>
          </a:p>
        </c:rich>
      </c:tx>
      <c:layout>
        <c:manualLayout>
          <c:xMode val="edge"/>
          <c:yMode val="edge"/>
          <c:x val="0.36147222222222219"/>
          <c:y val="7.4074074074074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29-47EA-8964-10E4AC8227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29-47EA-8964-10E4AC8227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029-47EA-8964-10E4AC8227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29-47EA-8964-10E4AC8227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29-47EA-8964-10E4AC8227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029-47EA-8964-10E4AC8227C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>
                <a:outerShdw blurRad="50800" dist="241300" dir="7800000" sx="104000" sy="104000" algn="ctr" rotWithShape="0">
                  <a:schemeClr val="tx2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029-47EA-8964-10E4AC8227C7}"/>
              </c:ext>
            </c:extLst>
          </c:dPt>
          <c:dPt>
            <c:idx val="7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029-47EA-8964-10E4AC8227C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029-47EA-8964-10E4AC8227C7}"/>
                </c:ext>
              </c:extLst>
            </c:dLbl>
            <c:dLbl>
              <c:idx val="1"/>
              <c:layout>
                <c:manualLayout>
                  <c:x val="-4.1666666666666664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029-47EA-8964-10E4AC8227C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F029-47EA-8964-10E4AC8227C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29-47EA-8964-10E4AC8227C7}"/>
                </c:ext>
              </c:extLst>
            </c:dLbl>
            <c:dLbl>
              <c:idx val="4"/>
              <c:layout>
                <c:manualLayout>
                  <c:x val="-0.18055555555555558"/>
                  <c:y val="-7.870370370370370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029-47EA-8964-10E4AC8227C7}"/>
                </c:ext>
              </c:extLst>
            </c:dLbl>
            <c:dLbl>
              <c:idx val="5"/>
              <c:layout>
                <c:manualLayout>
                  <c:x val="2.4522965879265092E-2"/>
                  <c:y val="-2.70764071157771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29-47EA-8964-10E4AC8227C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029-47EA-8964-10E4AC8227C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F029-47EA-8964-10E4AC8227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EJERCICIO1y2!$B$4:$B$10</c:f>
              <c:strCache>
                <c:ptCount val="7"/>
                <c:pt idx="0">
                  <c:v>Alejandro Sánchez</c:v>
                </c:pt>
                <c:pt idx="1">
                  <c:v>Dolores García</c:v>
                </c:pt>
                <c:pt idx="2">
                  <c:v>Estrella Gómez</c:v>
                </c:pt>
                <c:pt idx="3">
                  <c:v>José Martín</c:v>
                </c:pt>
                <c:pt idx="4">
                  <c:v>Juan Rodríguez</c:v>
                </c:pt>
                <c:pt idx="5">
                  <c:v>Roberto Lozano</c:v>
                </c:pt>
                <c:pt idx="6">
                  <c:v>Rosa Méndez</c:v>
                </c:pt>
              </c:strCache>
            </c:strRef>
          </c:cat>
          <c:val>
            <c:numRef>
              <c:f>EJERCICIO1y2!$G$4:$G$10</c:f>
              <c:numCache>
                <c:formatCode>#,##0\ "€"</c:formatCode>
                <c:ptCount val="7"/>
                <c:pt idx="0">
                  <c:v>1426</c:v>
                </c:pt>
                <c:pt idx="1">
                  <c:v>1800</c:v>
                </c:pt>
                <c:pt idx="2">
                  <c:v>1492</c:v>
                </c:pt>
                <c:pt idx="3">
                  <c:v>1888</c:v>
                </c:pt>
                <c:pt idx="4">
                  <c:v>1298</c:v>
                </c:pt>
                <c:pt idx="5">
                  <c:v>1224</c:v>
                </c:pt>
                <c:pt idx="6">
                  <c:v>1360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29-47EA-8964-10E4AC822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1"/>
        <c:secondPieSize val="75"/>
        <c:ser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752475</xdr:colOff>
      <xdr:row>19</xdr:row>
      <xdr:rowOff>4762</xdr:rowOff>
    </xdr:from>
    <xdr:to>
      <xdr:col>6</xdr:col>
      <xdr:colOff>257175</xdr:colOff>
      <xdr:row>33</xdr:row>
      <xdr:rowOff>80962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4B56791-20D8-F844-B01E-A70551BE5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266700</xdr:colOff>
      <xdr:row>18</xdr:row>
      <xdr:rowOff>190499</xdr:rowOff>
    </xdr:from>
    <xdr:to>
      <xdr:col>12</xdr:col>
      <xdr:colOff>247650</xdr:colOff>
      <xdr:row>33</xdr:row>
      <xdr:rowOff>85724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EC8AE8-E751-9E7D-E308-B077507BC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704850</xdr:colOff>
      <xdr:row>33</xdr:row>
      <xdr:rowOff>80962</xdr:rowOff>
    </xdr:from>
    <xdr:to>
      <xdr:col>8</xdr:col>
      <xdr:colOff>457200</xdr:colOff>
      <xdr:row>47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6BCD11B-08DE-A096-9661-A3D9305F3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858D-95E2-465F-BF95-9F5BB7F1E19C}">
  <dimension ref="B2:L19"/>
  <sheetViews>
    <sheetView tabSelected="1" workbookViewId="0">
      <selection activeCell="K17" sqref="K17"/>
    </sheetView>
  </sheetViews>
  <sheetFormatPr baseColWidth="10" defaultRowHeight="15" x14ac:dyDescent="0.25"/>
  <cols>
    <col min="2" max="2" width="17.42578125" bestFit="1" customWidth="1"/>
    <col min="3" max="3" width="18.28515625" bestFit="1" customWidth="1"/>
    <col min="4" max="4" width="7.140625" bestFit="1" customWidth="1"/>
    <col min="5" max="5" width="9.28515625" bestFit="1" customWidth="1"/>
    <col min="6" max="6" width="12.42578125" bestFit="1" customWidth="1"/>
    <col min="7" max="7" width="12" bestFit="1" customWidth="1"/>
    <col min="8" max="8" width="13.140625" customWidth="1"/>
    <col min="9" max="9" width="7.140625" bestFit="1" customWidth="1"/>
    <col min="10" max="10" width="14.7109375" bestFit="1" customWidth="1"/>
    <col min="11" max="11" width="12.42578125" bestFit="1" customWidth="1"/>
    <col min="12" max="12" width="12" bestFit="1" customWidth="1"/>
  </cols>
  <sheetData>
    <row r="2" spans="2:12" ht="15.75" thickBot="1" x14ac:dyDescent="0.3">
      <c r="I2" s="2" t="s">
        <v>20</v>
      </c>
      <c r="J2" s="2"/>
      <c r="K2" s="2"/>
      <c r="L2" s="2"/>
    </row>
    <row r="3" spans="2:12" ht="16.5" thickTop="1" thickBot="1" x14ac:dyDescent="0.3">
      <c r="B3" s="42" t="s">
        <v>0</v>
      </c>
      <c r="C3" s="43" t="s">
        <v>1</v>
      </c>
      <c r="D3" s="43" t="s">
        <v>2</v>
      </c>
      <c r="E3" s="43" t="s">
        <v>3</v>
      </c>
      <c r="F3" s="43" t="s">
        <v>4</v>
      </c>
      <c r="G3" s="44" t="s">
        <v>5</v>
      </c>
      <c r="I3" s="9" t="s">
        <v>2</v>
      </c>
      <c r="J3" s="9" t="s">
        <v>19</v>
      </c>
      <c r="K3" s="9" t="s">
        <v>4</v>
      </c>
      <c r="L3" s="9" t="s">
        <v>5</v>
      </c>
    </row>
    <row r="4" spans="2:12" ht="16.5" thickTop="1" thickBot="1" x14ac:dyDescent="0.3">
      <c r="B4" s="45" t="s">
        <v>6</v>
      </c>
      <c r="C4" s="46">
        <v>215</v>
      </c>
      <c r="D4" s="46">
        <v>1075</v>
      </c>
      <c r="E4" s="47">
        <v>108</v>
      </c>
      <c r="F4" s="47">
        <v>1783</v>
      </c>
      <c r="G4" s="48">
        <v>1426</v>
      </c>
      <c r="I4" s="3">
        <f>C4*$D$15</f>
        <v>1075</v>
      </c>
      <c r="J4" s="4">
        <f>$D$16*I4</f>
        <v>107.5</v>
      </c>
      <c r="K4" s="4">
        <f>$D$14+J4+I4</f>
        <v>1782.5</v>
      </c>
      <c r="L4" s="5">
        <f>K4-$D$17*K4-$D$18*K4</f>
        <v>1426</v>
      </c>
    </row>
    <row r="5" spans="2:12" ht="16.5" thickTop="1" thickBot="1" x14ac:dyDescent="0.3">
      <c r="B5" s="49" t="s">
        <v>7</v>
      </c>
      <c r="C5" s="50">
        <v>300</v>
      </c>
      <c r="D5" s="50">
        <v>1500</v>
      </c>
      <c r="E5" s="51">
        <v>150</v>
      </c>
      <c r="F5" s="51">
        <v>2250</v>
      </c>
      <c r="G5" s="52">
        <v>1800</v>
      </c>
      <c r="I5" s="6">
        <f t="shared" ref="I5:I10" si="0">C5*$D$15</f>
        <v>1500</v>
      </c>
      <c r="J5" s="7">
        <f t="shared" ref="J5:J10" si="1">$D$16*I5</f>
        <v>150</v>
      </c>
      <c r="K5" s="7">
        <f t="shared" ref="K5:K10" si="2">$D$14+J5+I5</f>
        <v>2250</v>
      </c>
      <c r="L5" s="8">
        <f t="shared" ref="L5:L10" si="3">K5-$D$17*K5-$D$18*K5</f>
        <v>1800</v>
      </c>
    </row>
    <row r="6" spans="2:12" ht="16.5" thickTop="1" thickBot="1" x14ac:dyDescent="0.3">
      <c r="B6" s="49" t="s">
        <v>8</v>
      </c>
      <c r="C6" s="50">
        <v>230</v>
      </c>
      <c r="D6" s="50">
        <v>1150</v>
      </c>
      <c r="E6" s="51">
        <v>115</v>
      </c>
      <c r="F6" s="51">
        <v>1865</v>
      </c>
      <c r="G6" s="52">
        <v>1492</v>
      </c>
      <c r="I6" s="6">
        <f t="shared" si="0"/>
        <v>1150</v>
      </c>
      <c r="J6" s="7">
        <f t="shared" si="1"/>
        <v>115</v>
      </c>
      <c r="K6" s="7">
        <f t="shared" si="2"/>
        <v>1865</v>
      </c>
      <c r="L6" s="8">
        <f t="shared" si="3"/>
        <v>1492</v>
      </c>
    </row>
    <row r="7" spans="2:12" ht="16.5" thickTop="1" thickBot="1" x14ac:dyDescent="0.3">
      <c r="B7" s="49" t="s">
        <v>9</v>
      </c>
      <c r="C7" s="50">
        <v>320</v>
      </c>
      <c r="D7" s="50">
        <v>1600</v>
      </c>
      <c r="E7" s="51">
        <v>160</v>
      </c>
      <c r="F7" s="51">
        <v>2360</v>
      </c>
      <c r="G7" s="52">
        <v>1888</v>
      </c>
      <c r="I7" s="6">
        <f t="shared" si="0"/>
        <v>1600</v>
      </c>
      <c r="J7" s="7">
        <f t="shared" si="1"/>
        <v>160</v>
      </c>
      <c r="K7" s="7">
        <f t="shared" si="2"/>
        <v>2360</v>
      </c>
      <c r="L7" s="8">
        <f t="shared" si="3"/>
        <v>1888</v>
      </c>
    </row>
    <row r="8" spans="2:12" ht="16.5" thickTop="1" thickBot="1" x14ac:dyDescent="0.3">
      <c r="B8" s="49" t="s">
        <v>10</v>
      </c>
      <c r="C8" s="50">
        <v>186</v>
      </c>
      <c r="D8" s="50">
        <v>930</v>
      </c>
      <c r="E8" s="51">
        <v>93</v>
      </c>
      <c r="F8" s="51">
        <v>1623</v>
      </c>
      <c r="G8" s="52">
        <v>1298</v>
      </c>
      <c r="I8" s="6">
        <f t="shared" si="0"/>
        <v>930</v>
      </c>
      <c r="J8" s="7">
        <f t="shared" si="1"/>
        <v>93</v>
      </c>
      <c r="K8" s="7">
        <f t="shared" si="2"/>
        <v>1623</v>
      </c>
      <c r="L8" s="8">
        <f t="shared" si="3"/>
        <v>1298.4000000000001</v>
      </c>
    </row>
    <row r="9" spans="2:12" ht="16.5" thickTop="1" thickBot="1" x14ac:dyDescent="0.3">
      <c r="B9" s="49" t="s">
        <v>11</v>
      </c>
      <c r="C9" s="50">
        <v>169</v>
      </c>
      <c r="D9" s="50">
        <v>845</v>
      </c>
      <c r="E9" s="51">
        <v>85</v>
      </c>
      <c r="F9" s="51">
        <v>1530</v>
      </c>
      <c r="G9" s="52">
        <v>1224</v>
      </c>
      <c r="I9" s="6">
        <f t="shared" si="0"/>
        <v>845</v>
      </c>
      <c r="J9" s="7">
        <f t="shared" si="1"/>
        <v>84.5</v>
      </c>
      <c r="K9" s="7">
        <f t="shared" si="2"/>
        <v>1529.5</v>
      </c>
      <c r="L9" s="8">
        <f t="shared" si="3"/>
        <v>1223.5999999999999</v>
      </c>
    </row>
    <row r="10" spans="2:12" ht="16.5" thickTop="1" thickBot="1" x14ac:dyDescent="0.3">
      <c r="B10" s="53" t="s">
        <v>12</v>
      </c>
      <c r="C10" s="54">
        <v>200</v>
      </c>
      <c r="D10" s="54">
        <v>1000</v>
      </c>
      <c r="E10" s="55">
        <v>100</v>
      </c>
      <c r="F10" s="55">
        <v>1700</v>
      </c>
      <c r="G10" s="56">
        <v>1360</v>
      </c>
      <c r="I10" s="6">
        <f t="shared" si="0"/>
        <v>1000</v>
      </c>
      <c r="J10" s="7">
        <f t="shared" si="1"/>
        <v>100</v>
      </c>
      <c r="K10" s="7">
        <f t="shared" si="2"/>
        <v>1700</v>
      </c>
      <c r="L10" s="8">
        <f t="shared" si="3"/>
        <v>1360</v>
      </c>
    </row>
    <row r="11" spans="2:12" ht="15.75" thickTop="1" x14ac:dyDescent="0.25"/>
    <row r="12" spans="2:12" ht="15.75" thickBot="1" x14ac:dyDescent="0.3"/>
    <row r="13" spans="2:12" ht="16.5" thickTop="1" thickBot="1" x14ac:dyDescent="0.3">
      <c r="B13" s="57" t="s">
        <v>13</v>
      </c>
    </row>
    <row r="14" spans="2:12" ht="15.75" thickTop="1" x14ac:dyDescent="0.25">
      <c r="C14" s="58" t="s">
        <v>14</v>
      </c>
      <c r="D14" s="59">
        <v>600</v>
      </c>
      <c r="E14" s="60"/>
    </row>
    <row r="15" spans="2:12" x14ac:dyDescent="0.25">
      <c r="C15" s="61" t="s">
        <v>15</v>
      </c>
      <c r="D15" s="62">
        <v>5</v>
      </c>
      <c r="E15" s="63"/>
    </row>
    <row r="16" spans="2:12" x14ac:dyDescent="0.25">
      <c r="C16" s="61" t="s">
        <v>16</v>
      </c>
      <c r="D16" s="64">
        <v>0.1</v>
      </c>
      <c r="E16" s="65"/>
    </row>
    <row r="17" spans="3:5" x14ac:dyDescent="0.25">
      <c r="C17" s="61" t="s">
        <v>17</v>
      </c>
      <c r="D17" s="64">
        <v>0.14000000000000001</v>
      </c>
      <c r="E17" s="65"/>
    </row>
    <row r="18" spans="3:5" ht="15.75" thickBot="1" x14ac:dyDescent="0.3">
      <c r="C18" s="66" t="s">
        <v>18</v>
      </c>
      <c r="D18" s="67">
        <v>0.06</v>
      </c>
      <c r="E18" s="68"/>
    </row>
    <row r="19" spans="3:5" ht="15.75" thickTop="1" x14ac:dyDescent="0.25"/>
  </sheetData>
  <mergeCells count="6">
    <mergeCell ref="I2:L2"/>
    <mergeCell ref="D14:E14"/>
    <mergeCell ref="D15:E15"/>
    <mergeCell ref="D16:E16"/>
    <mergeCell ref="D17:E17"/>
    <mergeCell ref="D18:E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6606-5CC1-4EAF-B638-98A92C6F6D91}">
  <dimension ref="B4:J26"/>
  <sheetViews>
    <sheetView workbookViewId="0">
      <selection sqref="A1:XFD1048576"/>
    </sheetView>
  </sheetViews>
  <sheetFormatPr baseColWidth="10" defaultRowHeight="15" x14ac:dyDescent="0.25"/>
  <cols>
    <col min="1" max="1" width="11.42578125" style="1"/>
    <col min="2" max="2" width="6.7109375" style="1" bestFit="1" customWidth="1"/>
    <col min="3" max="3" width="13.85546875" style="1" bestFit="1" customWidth="1"/>
    <col min="4" max="4" width="11.42578125" style="1"/>
    <col min="5" max="5" width="20.140625" style="1" bestFit="1" customWidth="1"/>
    <col min="6" max="6" width="17.28515625" style="1" bestFit="1" customWidth="1"/>
    <col min="7" max="7" width="22.140625" style="1" bestFit="1" customWidth="1"/>
    <col min="8" max="8" width="10" style="1" bestFit="1" customWidth="1"/>
    <col min="9" max="9" width="6.7109375" style="1" bestFit="1" customWidth="1"/>
    <col min="10" max="10" width="13.85546875" style="1" bestFit="1" customWidth="1"/>
    <col min="11" max="16384" width="11.42578125" style="1"/>
  </cols>
  <sheetData>
    <row r="4" spans="2:10" ht="15.75" thickBot="1" x14ac:dyDescent="0.3"/>
    <row r="5" spans="2:10" ht="24" thickTop="1" x14ac:dyDescent="0.25">
      <c r="B5" s="29" t="s">
        <v>21</v>
      </c>
      <c r="C5" s="30" t="s">
        <v>55</v>
      </c>
      <c r="E5" s="11" t="s">
        <v>27</v>
      </c>
      <c r="F5" s="11"/>
      <c r="G5" s="11"/>
      <c r="H5" s="11"/>
      <c r="I5" s="11"/>
      <c r="J5" s="11"/>
    </row>
    <row r="6" spans="2:10" ht="16.5" thickBot="1" x14ac:dyDescent="0.3">
      <c r="B6" s="31">
        <v>1</v>
      </c>
      <c r="C6" s="24" t="s">
        <v>22</v>
      </c>
    </row>
    <row r="7" spans="2:10" ht="17.25" thickTop="1" thickBot="1" x14ac:dyDescent="0.3">
      <c r="B7" s="31">
        <v>2</v>
      </c>
      <c r="C7" s="24" t="s">
        <v>23</v>
      </c>
      <c r="E7" s="14" t="s">
        <v>28</v>
      </c>
      <c r="F7" s="15" t="s">
        <v>37</v>
      </c>
      <c r="G7" s="15" t="s">
        <v>45</v>
      </c>
      <c r="H7" s="15" t="s">
        <v>54</v>
      </c>
      <c r="I7" s="15" t="s">
        <v>21</v>
      </c>
      <c r="J7" s="16" t="s">
        <v>55</v>
      </c>
    </row>
    <row r="8" spans="2:10" ht="16.5" thickTop="1" x14ac:dyDescent="0.25">
      <c r="B8" s="31">
        <v>3</v>
      </c>
      <c r="C8" s="24" t="s">
        <v>24</v>
      </c>
      <c r="E8" s="17" t="s">
        <v>29</v>
      </c>
      <c r="F8" s="18" t="s">
        <v>38</v>
      </c>
      <c r="G8" s="18" t="s">
        <v>46</v>
      </c>
      <c r="H8" s="19">
        <v>1345</v>
      </c>
      <c r="I8" s="18">
        <v>3</v>
      </c>
      <c r="J8" s="20" t="str">
        <f>VLOOKUP(I8,$B$6:$C$10,2,TRUE)</f>
        <v>90 días</v>
      </c>
    </row>
    <row r="9" spans="2:10" ht="15.75" x14ac:dyDescent="0.25">
      <c r="B9" s="31">
        <v>4</v>
      </c>
      <c r="C9" s="24" t="s">
        <v>25</v>
      </c>
      <c r="E9" s="21" t="s">
        <v>30</v>
      </c>
      <c r="F9" s="22" t="s">
        <v>39</v>
      </c>
      <c r="G9" s="22" t="s">
        <v>47</v>
      </c>
      <c r="H9" s="23">
        <v>2456</v>
      </c>
      <c r="I9" s="22">
        <v>2</v>
      </c>
      <c r="J9" s="24" t="str">
        <f t="shared" ref="J9:J15" si="0">VLOOKUP(I9,$B$6:$C$10,2,TRUE)</f>
        <v>60 días</v>
      </c>
    </row>
    <row r="10" spans="2:10" ht="16.5" thickBot="1" x14ac:dyDescent="0.3">
      <c r="B10" s="32">
        <v>5</v>
      </c>
      <c r="C10" s="28" t="s">
        <v>26</v>
      </c>
      <c r="E10" s="21" t="s">
        <v>31</v>
      </c>
      <c r="F10" s="22" t="s">
        <v>40</v>
      </c>
      <c r="G10" s="22" t="s">
        <v>48</v>
      </c>
      <c r="H10" s="23">
        <v>7776</v>
      </c>
      <c r="I10" s="22">
        <v>1</v>
      </c>
      <c r="J10" s="24" t="str">
        <f t="shared" si="0"/>
        <v>Contado</v>
      </c>
    </row>
    <row r="11" spans="2:10" ht="16.5" thickTop="1" x14ac:dyDescent="0.25">
      <c r="E11" s="21" t="s">
        <v>32</v>
      </c>
      <c r="F11" s="22" t="s">
        <v>41</v>
      </c>
      <c r="G11" s="22" t="s">
        <v>62</v>
      </c>
      <c r="H11" s="23">
        <v>1255</v>
      </c>
      <c r="I11" s="22">
        <v>3</v>
      </c>
      <c r="J11" s="24" t="str">
        <f t="shared" si="0"/>
        <v>90 días</v>
      </c>
    </row>
    <row r="12" spans="2:10" ht="15.75" x14ac:dyDescent="0.25">
      <c r="E12" s="21" t="s">
        <v>33</v>
      </c>
      <c r="F12" s="22" t="s">
        <v>42</v>
      </c>
      <c r="G12" s="22" t="s">
        <v>49</v>
      </c>
      <c r="H12" s="23">
        <v>2345</v>
      </c>
      <c r="I12" s="22">
        <v>4</v>
      </c>
      <c r="J12" s="24" t="str">
        <f t="shared" si="0"/>
        <v>120 días</v>
      </c>
    </row>
    <row r="13" spans="2:10" ht="15.75" x14ac:dyDescent="0.25">
      <c r="E13" s="21" t="s">
        <v>34</v>
      </c>
      <c r="F13" s="22" t="s">
        <v>43</v>
      </c>
      <c r="G13" s="22" t="s">
        <v>50</v>
      </c>
      <c r="H13" s="23">
        <v>7768</v>
      </c>
      <c r="I13" s="22">
        <v>1</v>
      </c>
      <c r="J13" s="24" t="str">
        <f t="shared" si="0"/>
        <v>Contado</v>
      </c>
    </row>
    <row r="14" spans="2:10" ht="15.75" x14ac:dyDescent="0.25">
      <c r="E14" s="21" t="s">
        <v>35</v>
      </c>
      <c r="F14" s="22" t="s">
        <v>61</v>
      </c>
      <c r="G14" s="22" t="s">
        <v>51</v>
      </c>
      <c r="H14" s="23">
        <v>1200</v>
      </c>
      <c r="I14" s="22">
        <v>2</v>
      </c>
      <c r="J14" s="24" t="str">
        <f t="shared" si="0"/>
        <v>60 días</v>
      </c>
    </row>
    <row r="15" spans="2:10" ht="16.5" thickBot="1" x14ac:dyDescent="0.3">
      <c r="E15" s="25" t="s">
        <v>36</v>
      </c>
      <c r="F15" s="26" t="s">
        <v>44</v>
      </c>
      <c r="G15" s="26" t="s">
        <v>52</v>
      </c>
      <c r="H15" s="27">
        <v>2341</v>
      </c>
      <c r="I15" s="26">
        <v>1</v>
      </c>
      <c r="J15" s="28" t="str">
        <f t="shared" si="0"/>
        <v>Contado</v>
      </c>
    </row>
    <row r="16" spans="2:10" ht="15.75" thickTop="1" x14ac:dyDescent="0.25"/>
    <row r="18" spans="5:8" ht="15.75" x14ac:dyDescent="0.25">
      <c r="E18" s="10" t="s">
        <v>56</v>
      </c>
      <c r="F18" s="10"/>
      <c r="G18" s="10" t="s">
        <v>29</v>
      </c>
      <c r="H18" s="10"/>
    </row>
    <row r="20" spans="5:8" ht="16.5" thickBot="1" x14ac:dyDescent="0.3">
      <c r="E20" s="12" t="s">
        <v>57</v>
      </c>
      <c r="F20" s="13"/>
      <c r="G20" s="13"/>
      <c r="H20" s="13"/>
    </row>
    <row r="21" spans="5:8" ht="16.5" thickTop="1" x14ac:dyDescent="0.25">
      <c r="E21" s="33" t="s">
        <v>58</v>
      </c>
      <c r="F21" s="34" t="str">
        <f>VLOOKUP($G$18,$E$8:$J$15,1,0)</f>
        <v>SN</v>
      </c>
      <c r="G21" s="34"/>
      <c r="H21" s="35"/>
    </row>
    <row r="22" spans="5:8" ht="15.75" x14ac:dyDescent="0.25">
      <c r="E22" s="31" t="s">
        <v>0</v>
      </c>
      <c r="F22" s="36" t="str">
        <f>VLOOKUP($G$18,$E$8:$J$15,2,0)</f>
        <v>SINTETIC S.A</v>
      </c>
      <c r="G22" s="36"/>
      <c r="H22" s="37"/>
    </row>
    <row r="23" spans="5:8" ht="15.75" x14ac:dyDescent="0.25">
      <c r="E23" s="31" t="s">
        <v>59</v>
      </c>
      <c r="F23" s="36" t="str">
        <f>VLOOKUP($G$18,$E$8:$J$15,3,0)</f>
        <v>Ronda de Poniente, 12</v>
      </c>
      <c r="G23" s="36"/>
      <c r="H23" s="37"/>
    </row>
    <row r="24" spans="5:8" ht="15.75" x14ac:dyDescent="0.25">
      <c r="E24" s="31" t="s">
        <v>53</v>
      </c>
      <c r="F24" s="38">
        <f>VLOOKUP($G$18,$E$8:$J$15,4,0)</f>
        <v>1345</v>
      </c>
      <c r="G24" s="38"/>
      <c r="H24" s="39"/>
    </row>
    <row r="25" spans="5:8" ht="16.5" thickBot="1" x14ac:dyDescent="0.3">
      <c r="E25" s="32" t="s">
        <v>60</v>
      </c>
      <c r="F25" s="40" t="str">
        <f>VLOOKUP($G$18,$E$8:$J$15,6,0)</f>
        <v>90 días</v>
      </c>
      <c r="G25" s="40"/>
      <c r="H25" s="41"/>
    </row>
    <row r="26" spans="5:8" ht="15.75" thickTop="1" x14ac:dyDescent="0.25"/>
  </sheetData>
  <mergeCells count="9">
    <mergeCell ref="F21:H21"/>
    <mergeCell ref="F22:H22"/>
    <mergeCell ref="F23:H23"/>
    <mergeCell ref="F24:H24"/>
    <mergeCell ref="F25:H25"/>
    <mergeCell ref="E5:J5"/>
    <mergeCell ref="E18:F18"/>
    <mergeCell ref="G18:H18"/>
    <mergeCell ref="E20:H20"/>
  </mergeCells>
  <dataValidations count="2">
    <dataValidation type="list" allowBlank="1" showInputMessage="1" showErrorMessage="1" sqref="G18:H18" xr:uid="{6B0ADC39-265C-4DC1-8CEB-35DC4C4BC1C5}">
      <formula1>$E$8:$E$15</formula1>
    </dataValidation>
    <dataValidation type="list" allowBlank="1" showInputMessage="1" showErrorMessage="1" sqref="I8:I15" xr:uid="{9C636BE3-4FE0-4DC8-9CBB-641CC62EAC1D}">
      <formula1>$B$6:$B$10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EJERCICIO1y2</vt:lpstr>
      <vt:lpstr>EJERCICIO3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mañana</dc:creator>
  <cp:lastModifiedBy>mañana</cp:lastModifiedBy>
  <dcterms:created xsi:type="dcterms:W3CDTF">2026-05-29T08:27:10Z</dcterms:created>
  <dcterms:modified xsi:type="dcterms:W3CDTF">2026-05-29T09:37:53Z</dcterms:modified>
</cp:coreProperties>
</file>