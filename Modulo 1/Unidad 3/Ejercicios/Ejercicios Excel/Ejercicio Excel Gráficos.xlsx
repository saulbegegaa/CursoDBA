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Ejercicios Excel\"/>
    </mc:Choice>
  </mc:AlternateContent>
  <xr:revisionPtr revIDLastSave="0" documentId="13_ncr:1_{B2ABB86E-ED27-49CF-B9AC-F9AA6058F5BD}" xr6:coauthVersionLast="47" xr6:coauthVersionMax="47" xr10:uidLastSave="{00000000-0000-0000-0000-000000000000}"/>
  <bookViews>
    <workbookView xWindow="-120" yWindow="-120" windowWidth="20730" windowHeight="11160" activeTab="3" xr2:uid="{0D032964-45B6-4CFA-A654-EE9B8BD83993}"/>
  </bookViews>
  <sheets>
    <sheet name="VENTAS2013" sheetId="1" r:id="rId1"/>
    <sheet name="TEMPERATURAS" sheetId="2" r:id="rId2"/>
    <sheet name="VUELOS" sheetId="3" r:id="rId3"/>
    <sheet name="FERRETERÍ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4" l="1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20" i="4"/>
  <c r="D20" i="4"/>
  <c r="C20" i="4"/>
  <c r="B20" i="4"/>
  <c r="E19" i="4"/>
  <c r="D19" i="4"/>
  <c r="C19" i="4"/>
  <c r="B19" i="4"/>
  <c r="E14" i="4"/>
  <c r="D14" i="4"/>
  <c r="C14" i="4"/>
  <c r="B14" i="4"/>
  <c r="D10" i="4"/>
  <c r="E10" i="4" s="1"/>
  <c r="C10" i="4"/>
  <c r="B10" i="4"/>
  <c r="E9" i="4"/>
  <c r="E3" i="4"/>
  <c r="E4" i="4"/>
  <c r="E5" i="4"/>
  <c r="E6" i="4"/>
  <c r="E7" i="4"/>
  <c r="E8" i="4"/>
  <c r="E11" i="4"/>
  <c r="E12" i="4"/>
  <c r="E13" i="4"/>
  <c r="E15" i="4"/>
  <c r="E16" i="4"/>
  <c r="E17" i="4"/>
  <c r="E18" i="4"/>
  <c r="E2" i="4"/>
  <c r="D9" i="3"/>
  <c r="E9" i="3"/>
  <c r="F9" i="3"/>
  <c r="C9" i="3"/>
  <c r="D8" i="3"/>
  <c r="E8" i="3"/>
  <c r="F8" i="3"/>
  <c r="C8" i="3"/>
  <c r="H5" i="3"/>
  <c r="H6" i="3"/>
  <c r="H7" i="3"/>
  <c r="H4" i="3"/>
  <c r="G5" i="3"/>
  <c r="G6" i="3"/>
  <c r="G7" i="3"/>
  <c r="G4" i="3"/>
  <c r="K8" i="2"/>
  <c r="J8" i="2"/>
  <c r="I8" i="2"/>
  <c r="L7" i="2"/>
  <c r="L6" i="2"/>
  <c r="L5" i="2"/>
  <c r="F6" i="2"/>
  <c r="F7" i="2"/>
  <c r="F8" i="2"/>
  <c r="F5" i="2"/>
  <c r="D8" i="2"/>
  <c r="E8" i="2"/>
  <c r="C8" i="2"/>
  <c r="L8" i="2" l="1"/>
</calcChain>
</file>

<file path=xl/sharedStrings.xml><?xml version="1.0" encoding="utf-8"?>
<sst xmlns="http://schemas.openxmlformats.org/spreadsheetml/2006/main" count="71" uniqueCount="51">
  <si>
    <t>Punta Cana</t>
  </si>
  <si>
    <t>Cancún</t>
  </si>
  <si>
    <t>Riviera Maya</t>
  </si>
  <si>
    <t>Trimestre 1</t>
  </si>
  <si>
    <t>Trimestre 2</t>
  </si>
  <si>
    <t>Trimestre 3</t>
  </si>
  <si>
    <t>Trimestre 4</t>
  </si>
  <si>
    <t>Hard</t>
  </si>
  <si>
    <t>Soft</t>
  </si>
  <si>
    <t>VTAS.2013</t>
  </si>
  <si>
    <t>Ventas 2013</t>
  </si>
  <si>
    <t>Oviedo</t>
  </si>
  <si>
    <t>Gijón</t>
  </si>
  <si>
    <t>Avilés</t>
  </si>
  <si>
    <t>Media</t>
  </si>
  <si>
    <t>Julio</t>
  </si>
  <si>
    <t>Agosto</t>
  </si>
  <si>
    <t>Septiembre</t>
  </si>
  <si>
    <t>Temperaturas máximas</t>
  </si>
  <si>
    <t>Temperaturas mínimas</t>
  </si>
  <si>
    <t>Venezuela</t>
  </si>
  <si>
    <t>MAXIMO</t>
  </si>
  <si>
    <t>MINIMO</t>
  </si>
  <si>
    <t>JULIO</t>
  </si>
  <si>
    <t>AGOSTO</t>
  </si>
  <si>
    <t>NOVIEMBRE</t>
  </si>
  <si>
    <t>DICIEMBRE</t>
  </si>
  <si>
    <t>TOTAL</t>
  </si>
  <si>
    <t>PROMEDIO</t>
  </si>
  <si>
    <t>VENTAS</t>
  </si>
  <si>
    <t>OVIEDO</t>
  </si>
  <si>
    <t>GIJÓN</t>
  </si>
  <si>
    <t>AVILÉS</t>
  </si>
  <si>
    <t>Tuercas</t>
  </si>
  <si>
    <t>Alcayatas</t>
  </si>
  <si>
    <t>Pernos</t>
  </si>
  <si>
    <t>Remaches</t>
  </si>
  <si>
    <t>Grapas</t>
  </si>
  <si>
    <t>Tornillos</t>
  </si>
  <si>
    <t>Arandekas</t>
  </si>
  <si>
    <t>Clavos</t>
  </si>
  <si>
    <t>FERRETERIA</t>
  </si>
  <si>
    <t>Taladros</t>
  </si>
  <si>
    <t>Sierras</t>
  </si>
  <si>
    <t>Lijadoras</t>
  </si>
  <si>
    <t>BRICOLAJE</t>
  </si>
  <si>
    <t>Estanterias</t>
  </si>
  <si>
    <t>Armarios</t>
  </si>
  <si>
    <t>Cocinas</t>
  </si>
  <si>
    <t>Tablas</t>
  </si>
  <si>
    <t>CARPINTERIA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</si>
</sst>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3" fontId="0" fillId="4" borderId="20" xfId="0" applyNumberFormat="1" applyFill="1" applyBorder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22" xfId="0" applyBorder="1"/>
    <xf numFmtId="0" fontId="2" fillId="6" borderId="0" xfId="0" applyFont="1" applyFill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7" borderId="25" xfId="0" applyNumberForma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7" borderId="28" xfId="0" applyNumberForma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3" fontId="0" fillId="7" borderId="31" xfId="0" applyNumberForma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7" borderId="34" xfId="0" applyNumberForma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3" fontId="2" fillId="8" borderId="7" xfId="0" applyNumberFormat="1" applyFont="1" applyFill="1" applyBorder="1" applyAlignment="1">
      <alignment horizontal="center" vertical="center"/>
    </xf>
    <xf numFmtId="3" fontId="2" fillId="8" borderId="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 2013 Hard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F-4D95-BA1C-B9E51B791061}"/>
            </c:ext>
          </c:extLst>
        </c:ser>
        <c:ser>
          <c:idx val="1"/>
          <c:order val="1"/>
          <c:tx>
            <c:v>Ventas 2013 Soft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F-4D95-BA1C-B9E51B79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1371375"/>
        <c:axId val="58740806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VENTAS2013!$F$4</c15:sqref>
                        </c15:formulaRef>
                      </c:ext>
                    </c:extLst>
                    <c:strCache>
                      <c:ptCount val="1"/>
                      <c:pt idx="0">
                        <c:v>VTAS.2013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VENTAS2013!$C$5:$C$8</c15:sqref>
                        </c15:formulaRef>
                      </c:ext>
                    </c:extLst>
                    <c:strCache>
                      <c:ptCount val="4"/>
                      <c:pt idx="0">
                        <c:v>Trimestre 1</c:v>
                      </c:pt>
                      <c:pt idx="1">
                        <c:v>Trimestre 2</c:v>
                      </c:pt>
                      <c:pt idx="2">
                        <c:v>Trimestre 3</c:v>
                      </c:pt>
                      <c:pt idx="3">
                        <c:v>Trimestre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VENTAS2013!$F$5:$F$8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62</c:v>
                      </c:pt>
                      <c:pt idx="2">
                        <c:v>78</c:v>
                      </c:pt>
                      <c:pt idx="3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77F-4D95-BA1C-B9E51B791061}"/>
                  </c:ext>
                </c:extLst>
              </c15:ser>
            </c15:filteredBarSeries>
          </c:ext>
        </c:extLst>
      </c:barChart>
      <c:catAx>
        <c:axId val="4913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7408063"/>
        <c:crosses val="autoZero"/>
        <c:auto val="1"/>
        <c:lblAlgn val="ctr"/>
        <c:lblOffset val="100"/>
        <c:noMultiLvlLbl val="0"/>
      </c:catAx>
      <c:valAx>
        <c:axId val="5874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13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  <a:r>
              <a:rPr lang="es-ES" baseline="0"/>
              <a:t> 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20"/>
      <c:rotY val="3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267637682628731E-2"/>
          <c:y val="0.11747212906062644"/>
          <c:w val="0.75293522278325375"/>
          <c:h val="0.78551306574974655"/>
        </c:manualLayout>
      </c:layout>
      <c:area3DChart>
        <c:grouping val="standard"/>
        <c:varyColors val="0"/>
        <c:ser>
          <c:idx val="0"/>
          <c:order val="0"/>
          <c:tx>
            <c:strRef>
              <c:f>VENTAS2013!$D$4</c:f>
              <c:strCache>
                <c:ptCount val="1"/>
                <c:pt idx="0">
                  <c:v>Hard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8B4-9804-1B59F895F7B0}"/>
            </c:ext>
          </c:extLst>
        </c:ser>
        <c:ser>
          <c:idx val="1"/>
          <c:order val="1"/>
          <c:tx>
            <c:strRef>
              <c:f>VENTAS2013!$E$4</c:f>
              <c:strCache>
                <c:ptCount val="1"/>
                <c:pt idx="0">
                  <c:v>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0-48B4-9804-1B59F895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78463"/>
        <c:axId val="675420063"/>
        <c:axId val="669801119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VENTAS2013!$F$2:$F$4</c15:sqref>
                        </c15:formulaRef>
                      </c:ext>
                    </c:extLst>
                    <c:strCache>
                      <c:ptCount val="3"/>
                      <c:pt idx="0">
                        <c:v>Ventas 2013</c:v>
                      </c:pt>
                      <c:pt idx="2">
                        <c:v>VTAS.2013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cat>
                  <c:strRef>
                    <c:extLst>
                      <c:ext uri="{02D57815-91ED-43cb-92C2-25804820EDAC}">
                        <c15:formulaRef>
                          <c15:sqref>VENTAS2013!$C$5:$C$8</c15:sqref>
                        </c15:formulaRef>
                      </c:ext>
                    </c:extLst>
                    <c:strCache>
                      <c:ptCount val="4"/>
                      <c:pt idx="0">
                        <c:v>Trimestre 1</c:v>
                      </c:pt>
                      <c:pt idx="1">
                        <c:v>Trimestre 2</c:v>
                      </c:pt>
                      <c:pt idx="2">
                        <c:v>Trimestre 3</c:v>
                      </c:pt>
                      <c:pt idx="3">
                        <c:v>Trimestre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VENTAS2013!$F$5:$F$8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62</c:v>
                      </c:pt>
                      <c:pt idx="2">
                        <c:v>78</c:v>
                      </c:pt>
                      <c:pt idx="3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8F0-48B4-9804-1B59F895F7B0}"/>
                  </c:ext>
                </c:extLst>
              </c15:ser>
            </c15:filteredAreaSeries>
          </c:ext>
        </c:extLst>
      </c:area3DChart>
      <c:catAx>
        <c:axId val="59167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420063"/>
        <c:crosses val="autoZero"/>
        <c:auto val="1"/>
        <c:lblAlgn val="ctr"/>
        <c:lblOffset val="100"/>
        <c:noMultiLvlLbl val="0"/>
      </c:catAx>
      <c:valAx>
        <c:axId val="6754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1678463"/>
        <c:crosses val="autoZero"/>
        <c:crossBetween val="midCat"/>
      </c:valAx>
      <c:serAx>
        <c:axId val="6698011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42006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31687292213473323"/>
          <c:y val="0.34054060950714499"/>
          <c:w val="0.35514326334208224"/>
          <c:h val="0.59190543890347036"/>
        </c:manualLayout>
      </c:layout>
      <c:radarChart>
        <c:radarStyle val="marker"/>
        <c:varyColors val="0"/>
        <c:ser>
          <c:idx val="0"/>
          <c:order val="0"/>
          <c:tx>
            <c:strRef>
              <c:f>VENTAS2013!$D$4</c:f>
              <c:strCache>
                <c:ptCount val="1"/>
                <c:pt idx="0">
                  <c:v>Hard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D-47EA-AE67-4D1D41465CD9}"/>
            </c:ext>
          </c:extLst>
        </c:ser>
        <c:ser>
          <c:idx val="1"/>
          <c:order val="1"/>
          <c:tx>
            <c:strRef>
              <c:f>VENTAS2013!$E$4</c:f>
              <c:strCache>
                <c:ptCount val="1"/>
                <c:pt idx="0">
                  <c:v>Soft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D-47EA-AE67-4D1D4146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81359"/>
        <c:axId val="682500335"/>
      </c:radarChart>
      <c:catAx>
        <c:axId val="7479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2500335"/>
        <c:crosses val="autoZero"/>
        <c:auto val="1"/>
        <c:lblAlgn val="ctr"/>
        <c:lblOffset val="100"/>
        <c:noMultiLvlLbl val="0"/>
      </c:catAx>
      <c:valAx>
        <c:axId val="6825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VENTAS2013!$D$4</c:f>
              <c:strCache>
                <c:ptCount val="1"/>
                <c:pt idx="0">
                  <c:v>Hard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9850" cap="rnd" cmpd="sng">
                <a:solidFill>
                  <a:schemeClr val="accent5">
                    <a:lumMod val="40000"/>
                    <a:lumOff val="60000"/>
                  </a:schemeClr>
                </a:solidFill>
                <a:prstDash val="dashDot"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trendlineType val="exp"/>
            <c:dispRSqr val="0"/>
            <c:dispEq val="0"/>
          </c:trendline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D-4DAD-B55C-073D76FBF151}"/>
            </c:ext>
          </c:extLst>
        </c:ser>
        <c:ser>
          <c:idx val="1"/>
          <c:order val="1"/>
          <c:tx>
            <c:strRef>
              <c:f>VENTAS2013!$E$4</c:f>
              <c:strCache>
                <c:ptCount val="1"/>
                <c:pt idx="0">
                  <c:v>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VENTAS2013!$C$5:$C$8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VENTAS2013!$E$5:$E$8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D-4DAD-B55C-073D76FBF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7992399"/>
        <c:axId val="725890863"/>
      </c:barChart>
      <c:catAx>
        <c:axId val="74799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5890863"/>
        <c:crosses val="autoZero"/>
        <c:auto val="1"/>
        <c:lblAlgn val="ctr"/>
        <c:lblOffset val="100"/>
        <c:noMultiLvlLbl val="0"/>
      </c:catAx>
      <c:valAx>
        <c:axId val="72589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Máximas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TEMPERATURAS!$B$5</c:f>
              <c:strCache>
                <c:ptCount val="1"/>
                <c:pt idx="0">
                  <c:v>Oviedo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TEMPERATURAS!$C$2:$F$4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TEMPERATURAS!$C$5:$F$5</c:f>
              <c:numCache>
                <c:formatCode>0.00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24</c:v>
                </c:pt>
                <c:pt idx="3">
                  <c:v>26.333333333333332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7-4B0C-9904-373935564195}"/>
            </c:ext>
          </c:extLst>
        </c:ser>
        <c:ser>
          <c:idx val="1"/>
          <c:order val="1"/>
          <c:tx>
            <c:strRef>
              <c:f>TEMPERATURAS!$B$6</c:f>
              <c:strCache>
                <c:ptCount val="1"/>
                <c:pt idx="0">
                  <c:v>Gijón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TEMPERATURAS!$C$2:$F$4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TEMPERATURAS!$C$6:$F$6</c:f>
              <c:numCache>
                <c:formatCode>0.00</c:formatCode>
                <c:ptCount val="4"/>
                <c:pt idx="0">
                  <c:v>30</c:v>
                </c:pt>
                <c:pt idx="1">
                  <c:v>32</c:v>
                </c:pt>
                <c:pt idx="2">
                  <c:v>26</c:v>
                </c:pt>
                <c:pt idx="3">
                  <c:v>29.333333333333332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7-4B0C-9904-373935564195}"/>
            </c:ext>
          </c:extLst>
        </c:ser>
        <c:ser>
          <c:idx val="2"/>
          <c:order val="2"/>
          <c:tx>
            <c:strRef>
              <c:f>TEMPERATURAS!$B$7</c:f>
              <c:strCache>
                <c:ptCount val="1"/>
                <c:pt idx="0">
                  <c:v>Avilés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TEMPERATURAS!$C$2:$F$4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TEMPERATURAS!$C$7:$F$7</c:f>
              <c:numCache>
                <c:formatCode>0.00</c:formatCode>
                <c:ptCount val="4"/>
                <c:pt idx="0">
                  <c:v>26</c:v>
                </c:pt>
                <c:pt idx="1">
                  <c:v>30</c:v>
                </c:pt>
                <c:pt idx="2">
                  <c:v>26</c:v>
                </c:pt>
                <c:pt idx="3">
                  <c:v>27.333333333333332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7-4B0C-9904-373935564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8020719"/>
        <c:axId val="731722847"/>
        <c:axId val="0"/>
      </c:bar3DChart>
      <c:catAx>
        <c:axId val="74802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722847"/>
        <c:crosses val="autoZero"/>
        <c:auto val="1"/>
        <c:lblAlgn val="ctr"/>
        <c:lblOffset val="100"/>
        <c:noMultiLvlLbl val="0"/>
      </c:catAx>
      <c:valAx>
        <c:axId val="73172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02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19898183867958E-2"/>
          <c:y val="0.14374306848007637"/>
          <c:w val="0.91662022113007691"/>
          <c:h val="0.69263278453829646"/>
        </c:manualLayout>
      </c:layout>
      <c:pie3DChart>
        <c:varyColors val="1"/>
        <c:ser>
          <c:idx val="0"/>
          <c:order val="0"/>
          <c:tx>
            <c:strRef>
              <c:f>TEMPERATURAS!$C$4</c:f>
              <c:strCache>
                <c:ptCount val="1"/>
                <c:pt idx="0">
                  <c:v>Julio</c:v>
                </c:pt>
              </c:strCache>
            </c:strRef>
          </c:tx>
          <c:explosion val="2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12-4EC4-950E-2A798867C0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12-4EC4-950E-2A798867C0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E12-4EC4-950E-2A798867C0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TEMPERATURAS!$B$5:$B$7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TEMPERATURAS!$C$5:$C$7</c:f>
              <c:numCache>
                <c:formatCode>0.00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2-4EC4-950E-2A798867C08C}"/>
            </c:ext>
          </c:extLst>
        </c:ser>
        <c:ser>
          <c:idx val="1"/>
          <c:order val="1"/>
          <c:tx>
            <c:strRef>
              <c:f>TEMPERATURAS!$D$4</c:f>
              <c:strCache>
                <c:ptCount val="1"/>
                <c:pt idx="0">
                  <c:v>Agosto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ED7-4F96-9D0E-6D8FD57F09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ED7-4F96-9D0E-6D8FD57F09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ED7-4F96-9D0E-6D8FD57F09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spcCol="18000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7ED7-4F96-9D0E-6D8FD57F0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TEMPERATURAS!$B$5:$B$7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TEMPERATURAS!$D$5:$D$7</c:f>
              <c:numCache>
                <c:formatCode>0.00</c:formatCode>
                <c:ptCount val="3"/>
                <c:pt idx="0">
                  <c:v>30</c:v>
                </c:pt>
                <c:pt idx="1">
                  <c:v>32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2-4EC4-950E-2A798867C08C}"/>
            </c:ext>
          </c:extLst>
        </c:ser>
        <c:ser>
          <c:idx val="2"/>
          <c:order val="2"/>
          <c:tx>
            <c:strRef>
              <c:f>TEMPERATURAS!$E$4</c:f>
              <c:strCache>
                <c:ptCount val="1"/>
                <c:pt idx="0">
                  <c:v>Septiembre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ED7-4F96-9D0E-6D8FD57F09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ED7-4F96-9D0E-6D8FD57F09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ED7-4F96-9D0E-6D8FD57F09CD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D7-4F96-9D0E-6D8FD57F09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TEMPERATURAS!$B$5:$B$7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TEMPERATURAS!$E$5:$E$7</c:f>
              <c:numCache>
                <c:formatCode>0.00</c:formatCode>
                <c:ptCount val="3"/>
                <c:pt idx="0">
                  <c:v>24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2-4EC4-950E-2A798867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TEMPERATURAS!$H$5</c:f>
              <c:strCache>
                <c:ptCount val="1"/>
                <c:pt idx="0">
                  <c:v>Oviedo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TEMPERATURAS!$I$4:$K$4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TEMPERATURAS!$I$5:$K$5</c:f>
              <c:numCache>
                <c:formatCode>0.00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8-4C54-BEAF-46E914EB49DE}"/>
            </c:ext>
          </c:extLst>
        </c:ser>
        <c:ser>
          <c:idx val="1"/>
          <c:order val="1"/>
          <c:tx>
            <c:strRef>
              <c:f>TEMPERATURAS!$H$6</c:f>
              <c:strCache>
                <c:ptCount val="1"/>
                <c:pt idx="0">
                  <c:v>Gijón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TEMPERATURAS!$I$4:$K$4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TEMPERATURAS!$I$6:$K$6</c:f>
              <c:numCache>
                <c:formatCode>0.00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8-4C54-BEAF-46E914EB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033679"/>
        <c:axId val="731722351"/>
      </c:barChart>
      <c:lineChart>
        <c:grouping val="standard"/>
        <c:varyColors val="0"/>
        <c:ser>
          <c:idx val="2"/>
          <c:order val="2"/>
          <c:tx>
            <c:strRef>
              <c:f>TEMPERATURAS!$H$7</c:f>
              <c:strCache>
                <c:ptCount val="1"/>
                <c:pt idx="0">
                  <c:v>Avilés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TEMPERATURAS!$I$4:$K$4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TEMPERATURAS!$I$7:$K$7</c:f>
              <c:numCache>
                <c:formatCode>0.00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F8-4C54-BEAF-46E914EB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994799"/>
        <c:axId val="731721359"/>
      </c:lineChart>
      <c:catAx>
        <c:axId val="7480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722351"/>
        <c:crosses val="autoZero"/>
        <c:auto val="1"/>
        <c:lblAlgn val="ctr"/>
        <c:lblOffset val="100"/>
        <c:noMultiLvlLbl val="0"/>
      </c:catAx>
      <c:valAx>
        <c:axId val="73172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033679"/>
        <c:crosses val="autoZero"/>
        <c:crossBetween val="between"/>
      </c:valAx>
      <c:valAx>
        <c:axId val="73172135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4799"/>
        <c:crosses val="max"/>
        <c:crossBetween val="between"/>
      </c:valAx>
      <c:catAx>
        <c:axId val="74799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1721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Mínimas</a:t>
            </a:r>
          </a:p>
        </c:rich>
      </c:tx>
      <c:layout>
        <c:manualLayout>
          <c:xMode val="edge"/>
          <c:yMode val="edge"/>
          <c:x val="0.3775561013072723"/>
          <c:y val="3.448275862068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yVal>
            <c:numRef>
              <c:f>TEMPERATURAS!$I$8:$K$8</c:f>
              <c:numCache>
                <c:formatCode>0.00</c:formatCode>
                <c:ptCount val="3"/>
                <c:pt idx="0">
                  <c:v>12.333333333333334</c:v>
                </c:pt>
                <c:pt idx="1">
                  <c:v>14.333333333333334</c:v>
                </c:pt>
                <c:pt idx="2">
                  <c:v>11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ABFE-44E5-B33C-5DFD4600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47995759"/>
        <c:axId val="734494927"/>
      </c:bubbleChart>
      <c:valAx>
        <c:axId val="7479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4494927"/>
        <c:crosses val="autoZero"/>
        <c:crossBetween val="midCat"/>
      </c:valAx>
      <c:valAx>
        <c:axId val="73449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</a:t>
            </a:r>
            <a:r>
              <a:rPr lang="es-ES" baseline="0"/>
              <a:t> General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VUELOS!$C$3</c:f>
              <c:strCache>
                <c:ptCount val="1"/>
                <c:pt idx="0">
                  <c:v>JULIO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VUELOS!$C$4:$C$7</c:f>
              <c:numCache>
                <c:formatCode>#,##0</c:formatCode>
                <c:ptCount val="4"/>
                <c:pt idx="0">
                  <c:v>125000</c:v>
                </c:pt>
                <c:pt idx="1">
                  <c:v>160000</c:v>
                </c:pt>
                <c:pt idx="2">
                  <c:v>115000</c:v>
                </c:pt>
                <c:pt idx="3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9-4D55-A7C2-2691A134475A}"/>
            </c:ext>
          </c:extLst>
        </c:ser>
        <c:ser>
          <c:idx val="1"/>
          <c:order val="1"/>
          <c:tx>
            <c:strRef>
              <c:f>VUELOS!$D$3</c:f>
              <c:strCache>
                <c:ptCount val="1"/>
                <c:pt idx="0">
                  <c:v>AGOSTO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VUELOS!$D$4:$D$7</c:f>
              <c:numCache>
                <c:formatCode>#,##0</c:formatCode>
                <c:ptCount val="4"/>
                <c:pt idx="0">
                  <c:v>128000</c:v>
                </c:pt>
                <c:pt idx="1">
                  <c:v>168000</c:v>
                </c:pt>
                <c:pt idx="2">
                  <c:v>140000</c:v>
                </c:pt>
                <c:pt idx="3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9-4D55-A7C2-2691A134475A}"/>
            </c:ext>
          </c:extLst>
        </c:ser>
        <c:ser>
          <c:idx val="2"/>
          <c:order val="2"/>
          <c:tx>
            <c:strRef>
              <c:f>VUELOS!$E$3</c:f>
              <c:strCache>
                <c:ptCount val="1"/>
                <c:pt idx="0">
                  <c:v>NOVIEMBRE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VUELOS!$E$4:$E$7</c:f>
              <c:numCache>
                <c:formatCode>#,##0</c:formatCode>
                <c:ptCount val="4"/>
                <c:pt idx="0">
                  <c:v>115000</c:v>
                </c:pt>
                <c:pt idx="1">
                  <c:v>125000</c:v>
                </c:pt>
                <c:pt idx="2">
                  <c:v>105000</c:v>
                </c:pt>
                <c:pt idx="3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9-4D55-A7C2-2691A134475A}"/>
            </c:ext>
          </c:extLst>
        </c:ser>
        <c:ser>
          <c:idx val="3"/>
          <c:order val="3"/>
          <c:tx>
            <c:strRef>
              <c:f>VUELOS!$F$3</c:f>
              <c:strCache>
                <c:ptCount val="1"/>
                <c:pt idx="0">
                  <c:v>DICIEMBRE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VUELOS!$F$4:$F$7</c:f>
              <c:numCache>
                <c:formatCode>#,##0</c:formatCode>
                <c:ptCount val="4"/>
                <c:pt idx="0">
                  <c:v>120000</c:v>
                </c:pt>
                <c:pt idx="1">
                  <c:v>130000</c:v>
                </c:pt>
                <c:pt idx="2">
                  <c:v>120000</c:v>
                </c:pt>
                <c:pt idx="3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69-4D55-A7C2-2691A1344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2211583"/>
        <c:axId val="1508662527"/>
      </c:barChart>
      <c:lineChart>
        <c:grouping val="standard"/>
        <c:varyColors val="0"/>
        <c:ser>
          <c:idx val="4"/>
          <c:order val="4"/>
          <c:tx>
            <c:strRef>
              <c:f>VUELOS!$G$3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VUELOS!$G$4:$G$7</c:f>
              <c:numCache>
                <c:formatCode>#,##0</c:formatCode>
                <c:ptCount val="4"/>
                <c:pt idx="0">
                  <c:v>488000</c:v>
                </c:pt>
                <c:pt idx="1">
                  <c:v>583000</c:v>
                </c:pt>
                <c:pt idx="2">
                  <c:v>480000</c:v>
                </c:pt>
                <c:pt idx="3">
                  <c:v>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69-4D55-A7C2-2691A1344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11583"/>
        <c:axId val="1508662527"/>
      </c:lineChart>
      <c:catAx>
        <c:axId val="140221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8662527"/>
        <c:crosses val="autoZero"/>
        <c:auto val="1"/>
        <c:lblAlgn val="ctr"/>
        <c:lblOffset val="100"/>
        <c:noMultiLvlLbl val="0"/>
      </c:catAx>
      <c:valAx>
        <c:axId val="1508662527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211583"/>
        <c:crosses val="autoZero"/>
        <c:crossBetween val="between"/>
        <c:majorUnit val="20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AGOSTO</a:t>
            </a:r>
          </a:p>
        </c:rich>
      </c:tx>
      <c:layout>
        <c:manualLayout>
          <c:xMode val="edge"/>
          <c:yMode val="edge"/>
          <c:x val="0.4267015319310840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20"/>
      <c:rotY val="30"/>
      <c:depthPercent val="60"/>
      <c:rAngAx val="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>
        <c:manualLayout>
          <c:layoutTarget val="inner"/>
          <c:xMode val="edge"/>
          <c:yMode val="edge"/>
          <c:x val="0.14715211473154885"/>
          <c:y val="0.12025481189851268"/>
          <c:w val="0.81571414917784046"/>
          <c:h val="0.75474518810148727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VUELOS!$D$4:$D$7</c:f>
              <c:numCache>
                <c:formatCode>#,##0</c:formatCode>
                <c:ptCount val="4"/>
                <c:pt idx="0">
                  <c:v>128000</c:v>
                </c:pt>
                <c:pt idx="1">
                  <c:v>168000</c:v>
                </c:pt>
                <c:pt idx="2">
                  <c:v>140000</c:v>
                </c:pt>
                <c:pt idx="3">
                  <c:v>160000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0435-46EB-A987-F98D5A795E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402199103"/>
        <c:axId val="1499325423"/>
        <c:axId val="0"/>
      </c:bar3DChart>
      <c:catAx>
        <c:axId val="1402199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9325423"/>
        <c:crosses val="autoZero"/>
        <c:auto val="1"/>
        <c:lblAlgn val="ctr"/>
        <c:lblOffset val="100"/>
        <c:noMultiLvlLbl val="0"/>
      </c:catAx>
      <c:valAx>
        <c:axId val="149932542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4021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hPercent val="25"/>
      <c:rotY val="4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Noviembre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VUELOS!$E$4:$E$7</c:f>
              <c:numCache>
                <c:formatCode>#,##0</c:formatCode>
                <c:ptCount val="4"/>
                <c:pt idx="0">
                  <c:v>115000</c:v>
                </c:pt>
                <c:pt idx="1">
                  <c:v>125000</c:v>
                </c:pt>
                <c:pt idx="2">
                  <c:v>105000</c:v>
                </c:pt>
                <c:pt idx="3">
                  <c:v>130000</c:v>
                </c:pt>
              </c:numCache>
            </c:numRef>
          </c:val>
          <c:shape val="coneToMax"/>
          <c:extLst>
            <c:ext xmlns:c16="http://schemas.microsoft.com/office/drawing/2014/chart" uri="{C3380CC4-5D6E-409C-BE32-E72D297353CC}">
              <c16:uniqueId val="{00000000-4589-4BAA-B35A-B1CE3C57CE28}"/>
            </c:ext>
          </c:extLst>
        </c:ser>
        <c:ser>
          <c:idx val="1"/>
          <c:order val="1"/>
          <c:tx>
            <c:v>Diciembre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VUELOS!$F$4:$F$7</c:f>
              <c:numCache>
                <c:formatCode>#,##0</c:formatCode>
                <c:ptCount val="4"/>
                <c:pt idx="0">
                  <c:v>120000</c:v>
                </c:pt>
                <c:pt idx="1">
                  <c:v>130000</c:v>
                </c:pt>
                <c:pt idx="2">
                  <c:v>120000</c:v>
                </c:pt>
                <c:pt idx="3">
                  <c:v>140000</c:v>
                </c:pt>
              </c:numCache>
            </c:numRef>
          </c:val>
          <c:shape val="pyramidToMax"/>
          <c:extLst>
            <c:ext xmlns:c16="http://schemas.microsoft.com/office/drawing/2014/chart" uri="{C3380CC4-5D6E-409C-BE32-E72D297353CC}">
              <c16:uniqueId val="{00000001-4589-4BAA-B35A-B1CE3C57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37"/>
        <c:shape val="box"/>
        <c:axId val="1402284543"/>
        <c:axId val="1560047903"/>
        <c:axId val="1397965935"/>
      </c:bar3DChart>
      <c:catAx>
        <c:axId val="140228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Lugares</a:t>
                </a:r>
              </a:p>
            </c:rich>
          </c:tx>
          <c:layout>
            <c:manualLayout>
              <c:xMode val="edge"/>
              <c:yMode val="edge"/>
              <c:x val="0.31663464747318959"/>
              <c:y val="0.77655859703453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0047903"/>
        <c:crosses val="autoZero"/>
        <c:auto val="1"/>
        <c:lblAlgn val="ctr"/>
        <c:lblOffset val="100"/>
        <c:noMultiLvlLbl val="0"/>
      </c:catAx>
      <c:valAx>
        <c:axId val="156004790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Billetes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284543"/>
        <c:crosses val="autoZero"/>
        <c:crossBetween val="between"/>
        <c:majorUnit val="100000"/>
      </c:valAx>
      <c:serAx>
        <c:axId val="1397965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0047903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93849988855385"/>
          <c:y val="0.45961068798241261"/>
          <c:w val="0.13077216301168593"/>
          <c:h val="0.15437492504157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VUELOS!$C$3</c:f>
              <c:strCache>
                <c:ptCount val="1"/>
                <c:pt idx="0">
                  <c:v>JULIO</c:v>
                </c:pt>
              </c:strCache>
            </c:strRef>
          </c:tx>
          <c:dPt>
            <c:idx val="0"/>
            <c:bubble3D val="0"/>
            <c:explosion val="2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791-46F8-8A3B-61EFCDF26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A-425D-B714-7EAE165872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8A-425D-B714-7EAE16587293}"/>
              </c:ext>
            </c:extLst>
          </c:dPt>
          <c:dPt>
            <c:idx val="3"/>
            <c:bubble3D val="0"/>
            <c:explosion val="22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91-46F8-8A3B-61EFCDF26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VUELOS!$B$4:$B$7</c:f>
              <c:strCache>
                <c:ptCount val="4"/>
                <c:pt idx="0">
                  <c:v>Punta Cana</c:v>
                </c:pt>
                <c:pt idx="1">
                  <c:v>Cancún</c:v>
                </c:pt>
                <c:pt idx="2">
                  <c:v>Riviera Maya</c:v>
                </c:pt>
                <c:pt idx="3">
                  <c:v>Venezuela</c:v>
                </c:pt>
              </c:strCache>
            </c:strRef>
          </c:cat>
          <c:val>
            <c:numRef>
              <c:f>VUELOS!$C$4:$C$7</c:f>
              <c:numCache>
                <c:formatCode>#,##0</c:formatCode>
                <c:ptCount val="4"/>
                <c:pt idx="0">
                  <c:v>125000</c:v>
                </c:pt>
                <c:pt idx="1">
                  <c:v>160000</c:v>
                </c:pt>
                <c:pt idx="2">
                  <c:v>115000</c:v>
                </c:pt>
                <c:pt idx="3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1-46F8-8A3B-61EFCDF2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explosion val="7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C2-46D0-A8F6-47C1826A9CC1}"/>
              </c:ext>
            </c:extLst>
          </c:dPt>
          <c:dPt>
            <c:idx val="1"/>
            <c:bubble3D val="0"/>
            <c:explosion val="19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C2-46D0-A8F6-47C1826A9CC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72-4120-968A-196AE1F43D6C}"/>
              </c:ext>
            </c:extLst>
          </c:dPt>
          <c:dPt>
            <c:idx val="3"/>
            <c:bubble3D val="0"/>
            <c:explosion val="17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2-46D0-A8F6-47C1826A9C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FERRETERÍA!$A$39:$A$41</c:f>
              <c:strCache>
                <c:ptCount val="3"/>
                <c:pt idx="0">
                  <c:v>FERRETERIA</c:v>
                </c:pt>
                <c:pt idx="1">
                  <c:v>BRICOLAJE</c:v>
                </c:pt>
                <c:pt idx="2">
                  <c:v>CARPINTERIA</c:v>
                </c:pt>
              </c:strCache>
            </c:strRef>
          </c:cat>
          <c:val>
            <c:numRef>
              <c:f>FERRETERÍA!$B$39:$B$41</c:f>
              <c:numCache>
                <c:formatCode>#,##0</c:formatCode>
                <c:ptCount val="3"/>
                <c:pt idx="0">
                  <c:v>1127000</c:v>
                </c:pt>
                <c:pt idx="1">
                  <c:v>341000</c:v>
                </c:pt>
                <c:pt idx="2">
                  <c:v>493000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2-46D0-A8F6-47C1826A9CC1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72-4120-968A-196AE1F43D6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72-4120-968A-196AE1F43D6C}"/>
              </c:ext>
            </c:extLst>
          </c:dPt>
          <c:cat>
            <c:strRef>
              <c:f>FERRETERÍA!$A$39:$A$41</c:f>
              <c:strCache>
                <c:ptCount val="3"/>
                <c:pt idx="0">
                  <c:v>FERRETERIA</c:v>
                </c:pt>
                <c:pt idx="1">
                  <c:v>BRICOLAJE</c:v>
                </c:pt>
                <c:pt idx="2">
                  <c:v>CARPINTERIA</c:v>
                </c:pt>
              </c:strCache>
            </c:strRef>
          </c:cat>
          <c:val>
            <c:numRef>
              <c:f>FERRETERÍA!$B$38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2-46D0-A8F6-47C1826A9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9525">
              <a:solidFill>
                <a:schemeClr val="tx1"/>
              </a:solidFill>
              <a:prstDash val="solid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  <a:r>
              <a:rPr lang="es-ES" baseline="0"/>
              <a:t> en ciudades por categorias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20"/>
      <c:hPercent val="20"/>
      <c:rotY val="30"/>
      <c:depthPercent val="1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FERRETERIA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FERRETERÍA!$B$38:$D$38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FERRETERÍA!$B$39:$D$39</c:f>
              <c:numCache>
                <c:formatCode>#,##0</c:formatCode>
                <c:ptCount val="3"/>
                <c:pt idx="0">
                  <c:v>1127000</c:v>
                </c:pt>
                <c:pt idx="1">
                  <c:v>957000</c:v>
                </c:pt>
                <c:pt idx="2">
                  <c:v>969000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E-4BAC-8437-0E713C8682BC}"/>
            </c:ext>
          </c:extLst>
        </c:ser>
        <c:ser>
          <c:idx val="1"/>
          <c:order val="1"/>
          <c:tx>
            <c:v>BRICOLAJE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FERRETERÍA!$B$38:$D$38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FERRETERÍA!$B$40:$D$40</c:f>
              <c:numCache>
                <c:formatCode>#,##0</c:formatCode>
                <c:ptCount val="3"/>
                <c:pt idx="0">
                  <c:v>341000</c:v>
                </c:pt>
                <c:pt idx="1">
                  <c:v>310000</c:v>
                </c:pt>
                <c:pt idx="2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E-4BAC-8437-0E713C8682BC}"/>
            </c:ext>
          </c:extLst>
        </c:ser>
        <c:ser>
          <c:idx val="2"/>
          <c:order val="2"/>
          <c:tx>
            <c:v>CARPINTERIA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FERRETERÍA!$B$38:$D$38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FERRETERÍA!$B$41:$D$41</c:f>
              <c:numCache>
                <c:formatCode>#,##0</c:formatCode>
                <c:ptCount val="3"/>
                <c:pt idx="0">
                  <c:v>493000</c:v>
                </c:pt>
                <c:pt idx="1">
                  <c:v>295000</c:v>
                </c:pt>
                <c:pt idx="2">
                  <c:v>425000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4E-4BAC-8437-0E713C868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44"/>
        <c:shape val="cylinder"/>
        <c:axId val="824098447"/>
        <c:axId val="826666591"/>
        <c:axId val="0"/>
      </c:bar3DChart>
      <c:catAx>
        <c:axId val="82409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6666591"/>
        <c:crosses val="autoZero"/>
        <c:auto val="1"/>
        <c:lblAlgn val="ctr"/>
        <c:lblOffset val="100"/>
        <c:noMultiLvlLbl val="0"/>
      </c:catAx>
      <c:valAx>
        <c:axId val="8266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4098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FERRETERÍA!$A$40</c:f>
              <c:strCache>
                <c:ptCount val="1"/>
                <c:pt idx="0">
                  <c:v>BRICOLAJE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FERRETERÍA!$B$38:$E$38</c:f>
              <c:strCache>
                <c:ptCount val="4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  <c:pt idx="3">
                  <c:v>TOTAL</c:v>
                </c:pt>
              </c:strCache>
            </c:strRef>
          </c:cat>
          <c:val>
            <c:numRef>
              <c:f>FERRETERÍA!$B$40:$E$40</c:f>
              <c:numCache>
                <c:formatCode>#,##0</c:formatCode>
                <c:ptCount val="4"/>
                <c:pt idx="0">
                  <c:v>341000</c:v>
                </c:pt>
                <c:pt idx="1">
                  <c:v>310000</c:v>
                </c:pt>
                <c:pt idx="2">
                  <c:v>340000</c:v>
                </c:pt>
                <c:pt idx="3">
                  <c:v>991000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C-49E9-99D0-85DE7855E403}"/>
            </c:ext>
          </c:extLst>
        </c:ser>
        <c:ser>
          <c:idx val="2"/>
          <c:order val="2"/>
          <c:tx>
            <c:strRef>
              <c:f>FERRETERÍA!$A$41</c:f>
              <c:strCache>
                <c:ptCount val="1"/>
                <c:pt idx="0">
                  <c:v>CARPINTERIA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FERRETERÍA!$B$38:$E$38</c:f>
              <c:strCache>
                <c:ptCount val="4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  <c:pt idx="3">
                  <c:v>TOTAL</c:v>
                </c:pt>
              </c:strCache>
            </c:strRef>
          </c:cat>
          <c:val>
            <c:numRef>
              <c:f>FERRETERÍA!$B$41:$E$41</c:f>
              <c:numCache>
                <c:formatCode>#,##0</c:formatCode>
                <c:ptCount val="4"/>
                <c:pt idx="0">
                  <c:v>493000</c:v>
                </c:pt>
                <c:pt idx="1">
                  <c:v>295000</c:v>
                </c:pt>
                <c:pt idx="2">
                  <c:v>425000</c:v>
                </c:pt>
                <c:pt idx="3">
                  <c:v>1213000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C-49E9-99D0-85DE7855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393568"/>
        <c:axId val="1222026256"/>
      </c:barChart>
      <c:lineChart>
        <c:grouping val="stacked"/>
        <c:varyColors val="0"/>
        <c:ser>
          <c:idx val="0"/>
          <c:order val="0"/>
          <c:tx>
            <c:strRef>
              <c:f>FERRETERÍA!$A$39</c:f>
              <c:strCache>
                <c:ptCount val="1"/>
                <c:pt idx="0">
                  <c:v>FERRETERIA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FERRETERÍA!$B$38:$E$38</c:f>
              <c:strCache>
                <c:ptCount val="4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  <c:pt idx="3">
                  <c:v>TOTAL</c:v>
                </c:pt>
              </c:strCache>
            </c:strRef>
          </c:cat>
          <c:val>
            <c:numRef>
              <c:f>FERRETERÍA!$B$39:$E$39</c:f>
              <c:numCache>
                <c:formatCode>#,##0</c:formatCode>
                <c:ptCount val="4"/>
                <c:pt idx="0">
                  <c:v>1127000</c:v>
                </c:pt>
                <c:pt idx="1">
                  <c:v>957000</c:v>
                </c:pt>
                <c:pt idx="2">
                  <c:v>969000</c:v>
                </c:pt>
                <c:pt idx="3">
                  <c:v>3053000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C-49E9-99D0-85DE7855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415168"/>
        <c:axId val="1321296544"/>
      </c:lineChart>
      <c:catAx>
        <c:axId val="121939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026256"/>
        <c:crosses val="autoZero"/>
        <c:auto val="1"/>
        <c:lblAlgn val="ctr"/>
        <c:lblOffset val="100"/>
        <c:noMultiLvlLbl val="0"/>
      </c:catAx>
      <c:valAx>
        <c:axId val="122202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9393568"/>
        <c:crosses val="autoZero"/>
        <c:crossBetween val="between"/>
      </c:valAx>
      <c:valAx>
        <c:axId val="132129654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9415168"/>
        <c:crosses val="max"/>
        <c:crossBetween val="between"/>
      </c:valAx>
      <c:catAx>
        <c:axId val="1219415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1296544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</xdr:rowOff>
    </xdr:from>
    <xdr:to>
      <xdr:col>11</xdr:col>
      <xdr:colOff>447675</xdr:colOff>
      <xdr:row>8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3E1061-A0F7-F451-DFCF-A93F51F85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742950</xdr:colOff>
      <xdr:row>8</xdr:row>
      <xdr:rowOff>9525</xdr:rowOff>
    </xdr:from>
    <xdr:to>
      <xdr:col>6</xdr:col>
      <xdr:colOff>628650</xdr:colOff>
      <xdr:row>20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521C0E-B5E3-BD30-5518-7A0B2BA46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590551</xdr:colOff>
      <xdr:row>8</xdr:row>
      <xdr:rowOff>9526</xdr:rowOff>
    </xdr:from>
    <xdr:to>
      <xdr:col>11</xdr:col>
      <xdr:colOff>457201</xdr:colOff>
      <xdr:row>20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79442A-BF89-58B5-19B9-89620ACAC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20</xdr:row>
      <xdr:rowOff>138112</xdr:rowOff>
    </xdr:from>
    <xdr:to>
      <xdr:col>11</xdr:col>
      <xdr:colOff>438150</xdr:colOff>
      <xdr:row>35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E88E01-3626-B5CE-1663-C9A8CF926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8</xdr:row>
      <xdr:rowOff>9525</xdr:rowOff>
    </xdr:from>
    <xdr:to>
      <xdr:col>6</xdr:col>
      <xdr:colOff>38100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8386F9-D4E3-DFBF-0C12-E4B086F8B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704850</xdr:colOff>
      <xdr:row>21</xdr:row>
      <xdr:rowOff>28575</xdr:rowOff>
    </xdr:from>
    <xdr:to>
      <xdr:col>6</xdr:col>
      <xdr:colOff>28575</xdr:colOff>
      <xdr:row>33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7342C8-5121-0827-9058-3A5353752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752475</xdr:colOff>
      <xdr:row>8</xdr:row>
      <xdr:rowOff>14287</xdr:rowOff>
    </xdr:from>
    <xdr:to>
      <xdr:col>12</xdr:col>
      <xdr:colOff>28575</xdr:colOff>
      <xdr:row>21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5BCAAE-CA94-D76E-B817-9D075711C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742950</xdr:colOff>
      <xdr:row>20</xdr:row>
      <xdr:rowOff>180974</xdr:rowOff>
    </xdr:from>
    <xdr:to>
      <xdr:col>12</xdr:col>
      <xdr:colOff>28575</xdr:colOff>
      <xdr:row>33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2BB473-AFAD-260E-0BA8-EFA6B4899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4762</xdr:rowOff>
    </xdr:from>
    <xdr:to>
      <xdr:col>7</xdr:col>
      <xdr:colOff>752475</xdr:colOff>
      <xdr:row>23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AC0799-ACE8-C8AD-FF08-083DB84D7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757236</xdr:colOff>
      <xdr:row>9</xdr:row>
      <xdr:rowOff>4762</xdr:rowOff>
    </xdr:from>
    <xdr:to>
      <xdr:col>15</xdr:col>
      <xdr:colOff>133349</xdr:colOff>
      <xdr:row>23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1278C1-58CB-2A5D-63BD-554ED4DEF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723900</xdr:colOff>
      <xdr:row>23</xdr:row>
      <xdr:rowOff>52386</xdr:rowOff>
    </xdr:from>
    <xdr:to>
      <xdr:col>15</xdr:col>
      <xdr:colOff>123825</xdr:colOff>
      <xdr:row>37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A171A8-1BB4-EB47-7936-06A61A37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4761</xdr:colOff>
      <xdr:row>23</xdr:row>
      <xdr:rowOff>90487</xdr:rowOff>
    </xdr:from>
    <xdr:to>
      <xdr:col>7</xdr:col>
      <xdr:colOff>733424</xdr:colOff>
      <xdr:row>37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1FC3378-ACAB-B4C6-741B-DC5AD29C2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14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4538E2-A379-F1AB-2DE8-20AF90FC4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4762</xdr:rowOff>
    </xdr:from>
    <xdr:to>
      <xdr:col>4</xdr:col>
      <xdr:colOff>314325</xdr:colOff>
      <xdr:row>33</xdr:row>
      <xdr:rowOff>84262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B375A4-A506-B8C0-51DF-7DB7896B5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980515</xdr:colOff>
      <xdr:row>19</xdr:row>
      <xdr:rowOff>180415</xdr:rowOff>
    </xdr:from>
    <xdr:to>
      <xdr:col>10</xdr:col>
      <xdr:colOff>756397</xdr:colOff>
      <xdr:row>34</xdr:row>
      <xdr:rowOff>54909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0CCF7A-C68D-25C0-A05A-C2F2478EC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7266-61FA-4DD7-ACEB-E9180CE02C94}">
  <dimension ref="C1:F8"/>
  <sheetViews>
    <sheetView topLeftCell="A8" zoomScaleNormal="100" workbookViewId="0">
      <selection activeCell="N29" sqref="N29"/>
    </sheetView>
  </sheetViews>
  <sheetFormatPr baseColWidth="10" defaultRowHeight="15" x14ac:dyDescent="0.25"/>
  <sheetData>
    <row r="1" spans="3:6" ht="15.75" thickBot="1" x14ac:dyDescent="0.3"/>
    <row r="2" spans="3:6" x14ac:dyDescent="0.25">
      <c r="C2" s="46" t="s">
        <v>10</v>
      </c>
      <c r="D2" s="47"/>
      <c r="E2" s="47"/>
      <c r="F2" s="48"/>
    </row>
    <row r="3" spans="3:6" ht="15.75" thickBot="1" x14ac:dyDescent="0.3">
      <c r="C3" s="49"/>
      <c r="D3" s="50"/>
      <c r="E3" s="50"/>
      <c r="F3" s="51"/>
    </row>
    <row r="4" spans="3:6" ht="15.75" thickBot="1" x14ac:dyDescent="0.3">
      <c r="C4" s="1"/>
      <c r="D4" s="3" t="s">
        <v>7</v>
      </c>
      <c r="E4" s="3" t="s">
        <v>8</v>
      </c>
      <c r="F4" s="3" t="s">
        <v>9</v>
      </c>
    </row>
    <row r="5" spans="3:6" ht="15.75" thickBot="1" x14ac:dyDescent="0.3">
      <c r="C5" s="2" t="s">
        <v>3</v>
      </c>
      <c r="D5" s="4">
        <v>20</v>
      </c>
      <c r="E5" s="4">
        <v>30</v>
      </c>
      <c r="F5" s="4">
        <v>50</v>
      </c>
    </row>
    <row r="6" spans="3:6" ht="15.75" thickBot="1" x14ac:dyDescent="0.3">
      <c r="C6" s="2" t="s">
        <v>4</v>
      </c>
      <c r="D6" s="5">
        <v>27</v>
      </c>
      <c r="E6" s="5">
        <v>35</v>
      </c>
      <c r="F6" s="5">
        <v>62</v>
      </c>
    </row>
    <row r="7" spans="3:6" ht="15.75" thickBot="1" x14ac:dyDescent="0.3">
      <c r="C7" s="2" t="s">
        <v>5</v>
      </c>
      <c r="D7" s="5">
        <v>40</v>
      </c>
      <c r="E7" s="5">
        <v>38</v>
      </c>
      <c r="F7" s="5">
        <v>78</v>
      </c>
    </row>
    <row r="8" spans="3:6" ht="15.75" thickBot="1" x14ac:dyDescent="0.3">
      <c r="C8" s="2" t="s">
        <v>6</v>
      </c>
      <c r="D8" s="6">
        <v>39</v>
      </c>
      <c r="E8" s="6">
        <v>53</v>
      </c>
      <c r="F8" s="6">
        <v>92</v>
      </c>
    </row>
  </sheetData>
  <mergeCells count="1">
    <mergeCell ref="C2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0335-0CBD-4D87-AB84-3A3D318C5172}">
  <dimension ref="B1:L8"/>
  <sheetViews>
    <sheetView topLeftCell="C13" workbookViewId="0">
      <selection activeCell="N32" sqref="N32"/>
    </sheetView>
  </sheetViews>
  <sheetFormatPr baseColWidth="10" defaultRowHeight="15" x14ac:dyDescent="0.25"/>
  <sheetData>
    <row r="1" spans="2:12" ht="15.75" thickBot="1" x14ac:dyDescent="0.3"/>
    <row r="2" spans="2:12" x14ac:dyDescent="0.25">
      <c r="C2" s="52" t="s">
        <v>18</v>
      </c>
      <c r="D2" s="53"/>
      <c r="E2" s="53"/>
      <c r="F2" s="54"/>
      <c r="I2" s="52" t="s">
        <v>19</v>
      </c>
      <c r="J2" s="53"/>
      <c r="K2" s="53"/>
      <c r="L2" s="54"/>
    </row>
    <row r="3" spans="2:12" ht="15.75" thickBot="1" x14ac:dyDescent="0.3">
      <c r="B3" s="8"/>
      <c r="C3" s="55"/>
      <c r="D3" s="56"/>
      <c r="E3" s="56"/>
      <c r="F3" s="57"/>
      <c r="H3" s="8"/>
      <c r="I3" s="55"/>
      <c r="J3" s="56"/>
      <c r="K3" s="56"/>
      <c r="L3" s="57"/>
    </row>
    <row r="4" spans="2:12" ht="15.75" thickBot="1" x14ac:dyDescent="0.3">
      <c r="B4" s="7"/>
      <c r="C4" s="14" t="s">
        <v>15</v>
      </c>
      <c r="D4" s="14" t="s">
        <v>16</v>
      </c>
      <c r="E4" s="14" t="s">
        <v>17</v>
      </c>
      <c r="F4" s="14" t="s">
        <v>14</v>
      </c>
      <c r="H4" s="7"/>
      <c r="I4" s="14" t="s">
        <v>15</v>
      </c>
      <c r="J4" s="14" t="s">
        <v>16</v>
      </c>
      <c r="K4" s="14" t="s">
        <v>17</v>
      </c>
      <c r="L4" s="14" t="s">
        <v>14</v>
      </c>
    </row>
    <row r="5" spans="2:12" x14ac:dyDescent="0.25">
      <c r="B5" s="7" t="s">
        <v>11</v>
      </c>
      <c r="C5" s="9">
        <v>25</v>
      </c>
      <c r="D5" s="9">
        <v>30</v>
      </c>
      <c r="E5" s="9">
        <v>24</v>
      </c>
      <c r="F5" s="9">
        <f>AVERAGE(C5,D5,E5)</f>
        <v>26.333333333333332</v>
      </c>
      <c r="H5" s="7" t="s">
        <v>11</v>
      </c>
      <c r="I5" s="9">
        <v>10</v>
      </c>
      <c r="J5" s="9">
        <v>12</v>
      </c>
      <c r="K5" s="9">
        <v>10</v>
      </c>
      <c r="L5" s="9">
        <f>AVERAGE(I5,J5,K5)</f>
        <v>10.666666666666666</v>
      </c>
    </row>
    <row r="6" spans="2:12" x14ac:dyDescent="0.25">
      <c r="B6" s="7" t="s">
        <v>12</v>
      </c>
      <c r="C6" s="10">
        <v>30</v>
      </c>
      <c r="D6" s="10">
        <v>32</v>
      </c>
      <c r="E6" s="10">
        <v>26</v>
      </c>
      <c r="F6" s="10">
        <f t="shared" ref="F6:F8" si="0">AVERAGE(C6,D6,E6)</f>
        <v>29.333333333333332</v>
      </c>
      <c r="H6" s="7" t="s">
        <v>12</v>
      </c>
      <c r="I6" s="10">
        <v>15</v>
      </c>
      <c r="J6" s="10">
        <v>15</v>
      </c>
      <c r="K6" s="10">
        <v>12</v>
      </c>
      <c r="L6" s="10">
        <f t="shared" ref="L6:L8" si="1">AVERAGE(I6,J6,K6)</f>
        <v>14</v>
      </c>
    </row>
    <row r="7" spans="2:12" ht="15.75" thickBot="1" x14ac:dyDescent="0.3">
      <c r="B7" s="7" t="s">
        <v>13</v>
      </c>
      <c r="C7" s="11">
        <v>26</v>
      </c>
      <c r="D7" s="11">
        <v>30</v>
      </c>
      <c r="E7" s="11">
        <v>26</v>
      </c>
      <c r="F7" s="11">
        <f t="shared" si="0"/>
        <v>27.333333333333332</v>
      </c>
      <c r="H7" s="7" t="s">
        <v>13</v>
      </c>
      <c r="I7" s="11">
        <v>12</v>
      </c>
      <c r="J7" s="11">
        <v>16</v>
      </c>
      <c r="K7" s="11">
        <v>11</v>
      </c>
      <c r="L7" s="11">
        <f t="shared" si="1"/>
        <v>13</v>
      </c>
    </row>
    <row r="8" spans="2:12" ht="15.75" thickBot="1" x14ac:dyDescent="0.3">
      <c r="B8" s="7" t="s">
        <v>14</v>
      </c>
      <c r="C8" s="12">
        <f>AVERAGE(C5,C6,C7)</f>
        <v>27</v>
      </c>
      <c r="D8" s="12">
        <f t="shared" ref="D8:E8" si="2">AVERAGE(D5,D6,D7)</f>
        <v>30.666666666666668</v>
      </c>
      <c r="E8" s="12">
        <f t="shared" si="2"/>
        <v>25.333333333333332</v>
      </c>
      <c r="F8" s="13">
        <f t="shared" si="0"/>
        <v>27.666666666666668</v>
      </c>
      <c r="H8" s="7" t="s">
        <v>14</v>
      </c>
      <c r="I8" s="12">
        <f>AVERAGE(I5,I6,I7)</f>
        <v>12.333333333333334</v>
      </c>
      <c r="J8" s="12">
        <f t="shared" ref="J8" si="3">AVERAGE(J5,J6,J7)</f>
        <v>14.333333333333334</v>
      </c>
      <c r="K8" s="12">
        <f t="shared" ref="K8" si="4">AVERAGE(K5,K6,K7)</f>
        <v>11</v>
      </c>
      <c r="L8" s="13">
        <f t="shared" si="1"/>
        <v>12.555555555555557</v>
      </c>
    </row>
  </sheetData>
  <mergeCells count="2">
    <mergeCell ref="C2:F3"/>
    <mergeCell ref="I2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AE4E-C994-47CE-A00C-9D736AD0938D}">
  <dimension ref="A2:H10"/>
  <sheetViews>
    <sheetView topLeftCell="B1" workbookViewId="0">
      <selection activeCell="M41" sqref="M41"/>
    </sheetView>
  </sheetViews>
  <sheetFormatPr baseColWidth="10" defaultRowHeight="15" x14ac:dyDescent="0.25"/>
  <sheetData>
    <row r="2" spans="1:8" ht="15.75" thickBot="1" x14ac:dyDescent="0.3">
      <c r="B2" s="7"/>
      <c r="C2" s="7"/>
      <c r="D2" s="7"/>
      <c r="E2" s="7"/>
      <c r="F2" s="7"/>
      <c r="G2" s="7"/>
      <c r="H2" s="7"/>
    </row>
    <row r="3" spans="1:8" ht="15.75" thickBot="1" x14ac:dyDescent="0.3">
      <c r="B3" s="7"/>
      <c r="C3" s="15" t="s">
        <v>23</v>
      </c>
      <c r="D3" s="16" t="s">
        <v>24</v>
      </c>
      <c r="E3" s="16" t="s">
        <v>25</v>
      </c>
      <c r="F3" s="17" t="s">
        <v>26</v>
      </c>
      <c r="G3" s="18" t="s">
        <v>27</v>
      </c>
      <c r="H3" s="18" t="s">
        <v>28</v>
      </c>
    </row>
    <row r="4" spans="1:8" x14ac:dyDescent="0.25">
      <c r="B4" s="15" t="s">
        <v>0</v>
      </c>
      <c r="C4" s="19">
        <v>125000</v>
      </c>
      <c r="D4" s="19">
        <v>128000</v>
      </c>
      <c r="E4" s="19">
        <v>115000</v>
      </c>
      <c r="F4" s="20">
        <v>120000</v>
      </c>
      <c r="G4" s="21">
        <f>SUM(C4:F4)</f>
        <v>488000</v>
      </c>
      <c r="H4" s="21">
        <f>AVERAGE(C4:G4)</f>
        <v>195200</v>
      </c>
    </row>
    <row r="5" spans="1:8" x14ac:dyDescent="0.25">
      <c r="B5" s="22" t="s">
        <v>1</v>
      </c>
      <c r="C5" s="19">
        <v>160000</v>
      </c>
      <c r="D5" s="19">
        <v>168000</v>
      </c>
      <c r="E5" s="19">
        <v>125000</v>
      </c>
      <c r="F5" s="20">
        <v>130000</v>
      </c>
      <c r="G5" s="21">
        <f t="shared" ref="G5:G7" si="0">SUM(C5:F5)</f>
        <v>583000</v>
      </c>
      <c r="H5" s="21">
        <f t="shared" ref="H5:H7" si="1">AVERAGE(C5:G5)</f>
        <v>233200</v>
      </c>
    </row>
    <row r="6" spans="1:8" x14ac:dyDescent="0.25">
      <c r="A6" s="29"/>
      <c r="B6" s="28" t="s">
        <v>2</v>
      </c>
      <c r="C6" s="19">
        <v>115000</v>
      </c>
      <c r="D6" s="19">
        <v>140000</v>
      </c>
      <c r="E6" s="19">
        <v>105000</v>
      </c>
      <c r="F6" s="20">
        <v>120000</v>
      </c>
      <c r="G6" s="21">
        <f t="shared" si="0"/>
        <v>480000</v>
      </c>
      <c r="H6" s="21">
        <f t="shared" si="1"/>
        <v>192000</v>
      </c>
    </row>
    <row r="7" spans="1:8" ht="15.75" thickBot="1" x14ac:dyDescent="0.3">
      <c r="B7" s="23" t="s">
        <v>20</v>
      </c>
      <c r="C7" s="24">
        <v>145000</v>
      </c>
      <c r="D7" s="24">
        <v>160000</v>
      </c>
      <c r="E7" s="24">
        <v>130000</v>
      </c>
      <c r="F7" s="25">
        <v>140000</v>
      </c>
      <c r="G7" s="21">
        <f t="shared" si="0"/>
        <v>575000</v>
      </c>
      <c r="H7" s="21">
        <f t="shared" si="1"/>
        <v>230000</v>
      </c>
    </row>
    <row r="8" spans="1:8" x14ac:dyDescent="0.25">
      <c r="B8" s="26" t="s">
        <v>21</v>
      </c>
      <c r="C8" s="21">
        <f>MAX(C4:C7)</f>
        <v>160000</v>
      </c>
      <c r="D8" s="21">
        <f t="shared" ref="D8:F8" si="2">MAX(D4:D7)</f>
        <v>168000</v>
      </c>
      <c r="E8" s="21">
        <f t="shared" si="2"/>
        <v>130000</v>
      </c>
      <c r="F8" s="21">
        <f t="shared" si="2"/>
        <v>140000</v>
      </c>
      <c r="G8" s="27"/>
      <c r="H8" s="27"/>
    </row>
    <row r="9" spans="1:8" x14ac:dyDescent="0.25">
      <c r="B9" s="26" t="s">
        <v>22</v>
      </c>
      <c r="C9" s="21">
        <f>MIN(C4:C7)</f>
        <v>115000</v>
      </c>
      <c r="D9" s="21">
        <f t="shared" ref="D9:F9" si="3">MIN(D4:D7)</f>
        <v>128000</v>
      </c>
      <c r="E9" s="21">
        <f t="shared" si="3"/>
        <v>105000</v>
      </c>
      <c r="F9" s="21">
        <f t="shared" si="3"/>
        <v>120000</v>
      </c>
      <c r="G9" s="27"/>
      <c r="H9" s="27"/>
    </row>
    <row r="10" spans="1:8" x14ac:dyDescent="0.25"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51BC-6025-4C8A-8571-4D9590507FDE}">
  <dimension ref="A1:E42"/>
  <sheetViews>
    <sheetView tabSelected="1" topLeftCell="A17" zoomScale="85" zoomScaleNormal="85" workbookViewId="0">
      <selection activeCell="M39" sqref="M39"/>
    </sheetView>
  </sheetViews>
  <sheetFormatPr baseColWidth="10" defaultRowHeight="15" x14ac:dyDescent="0.25"/>
  <cols>
    <col min="1" max="1" width="17" customWidth="1"/>
    <col min="2" max="2" width="16.42578125" customWidth="1"/>
    <col min="3" max="3" width="15.28515625" customWidth="1"/>
    <col min="4" max="4" width="15.140625" customWidth="1"/>
    <col min="5" max="5" width="14.7109375" customWidth="1"/>
  </cols>
  <sheetData>
    <row r="1" spans="1:5" x14ac:dyDescent="0.25">
      <c r="A1" s="30" t="s">
        <v>29</v>
      </c>
      <c r="B1" s="30" t="s">
        <v>30</v>
      </c>
      <c r="C1" s="30" t="s">
        <v>31</v>
      </c>
      <c r="D1" s="30" t="s">
        <v>32</v>
      </c>
      <c r="E1" s="30" t="s">
        <v>27</v>
      </c>
    </row>
    <row r="2" spans="1:5" x14ac:dyDescent="0.25">
      <c r="A2" s="34" t="s">
        <v>33</v>
      </c>
      <c r="B2" s="35">
        <v>121000</v>
      </c>
      <c r="C2" s="35">
        <v>145000</v>
      </c>
      <c r="D2" s="35">
        <v>152000</v>
      </c>
      <c r="E2" s="36">
        <f>SUM(B2:D2)</f>
        <v>418000</v>
      </c>
    </row>
    <row r="3" spans="1:5" x14ac:dyDescent="0.25">
      <c r="A3" s="34" t="s">
        <v>34</v>
      </c>
      <c r="B3" s="35">
        <v>181000</v>
      </c>
      <c r="C3" s="35">
        <v>113000</v>
      </c>
      <c r="D3" s="35">
        <v>121000</v>
      </c>
      <c r="E3" s="36">
        <f t="shared" ref="E3:E18" si="0">SUM(B3:D3)</f>
        <v>415000</v>
      </c>
    </row>
    <row r="4" spans="1:5" x14ac:dyDescent="0.25">
      <c r="A4" s="34" t="s">
        <v>35</v>
      </c>
      <c r="B4" s="35">
        <v>180000</v>
      </c>
      <c r="C4" s="35">
        <v>120000</v>
      </c>
      <c r="D4" s="35">
        <v>136000</v>
      </c>
      <c r="E4" s="36">
        <f t="shared" si="0"/>
        <v>436000</v>
      </c>
    </row>
    <row r="5" spans="1:5" x14ac:dyDescent="0.25">
      <c r="A5" s="34" t="s">
        <v>36</v>
      </c>
      <c r="B5" s="35">
        <v>177000</v>
      </c>
      <c r="C5" s="35">
        <v>114000</v>
      </c>
      <c r="D5" s="35">
        <v>174000</v>
      </c>
      <c r="E5" s="36">
        <f t="shared" si="0"/>
        <v>465000</v>
      </c>
    </row>
    <row r="6" spans="1:5" x14ac:dyDescent="0.25">
      <c r="A6" s="34" t="s">
        <v>37</v>
      </c>
      <c r="B6" s="35">
        <v>148000</v>
      </c>
      <c r="C6" s="35">
        <v>182000</v>
      </c>
      <c r="D6" s="35">
        <v>140000</v>
      </c>
      <c r="E6" s="36">
        <f t="shared" si="0"/>
        <v>470000</v>
      </c>
    </row>
    <row r="7" spans="1:5" x14ac:dyDescent="0.25">
      <c r="A7" s="34" t="s">
        <v>38</v>
      </c>
      <c r="B7" s="35">
        <v>133000</v>
      </c>
      <c r="C7" s="35">
        <v>85000</v>
      </c>
      <c r="D7" s="35">
        <v>81000</v>
      </c>
      <c r="E7" s="36">
        <f t="shared" si="0"/>
        <v>299000</v>
      </c>
    </row>
    <row r="8" spans="1:5" x14ac:dyDescent="0.25">
      <c r="A8" s="34" t="s">
        <v>39</v>
      </c>
      <c r="B8" s="35">
        <v>88000</v>
      </c>
      <c r="C8" s="35">
        <v>86000</v>
      </c>
      <c r="D8" s="35">
        <v>86000</v>
      </c>
      <c r="E8" s="36">
        <f t="shared" si="0"/>
        <v>260000</v>
      </c>
    </row>
    <row r="9" spans="1:5" ht="15.75" thickBot="1" x14ac:dyDescent="0.3">
      <c r="A9" s="37" t="s">
        <v>40</v>
      </c>
      <c r="B9" s="38">
        <v>99000</v>
      </c>
      <c r="C9" s="38">
        <v>112000</v>
      </c>
      <c r="D9" s="38">
        <v>79000</v>
      </c>
      <c r="E9" s="39">
        <f t="shared" si="0"/>
        <v>290000</v>
      </c>
    </row>
    <row r="10" spans="1:5" ht="15.75" thickBot="1" x14ac:dyDescent="0.3">
      <c r="A10" s="31" t="s">
        <v>41</v>
      </c>
      <c r="B10" s="32">
        <f>SUM($B$2:$B$9)</f>
        <v>1127000</v>
      </c>
      <c r="C10" s="32">
        <f>SUM($C$2:$C$9)</f>
        <v>957000</v>
      </c>
      <c r="D10" s="32">
        <f>SUM($D$2:$D$9)</f>
        <v>969000</v>
      </c>
      <c r="E10" s="33">
        <f>SUM($B$10:$D$10)</f>
        <v>3053000</v>
      </c>
    </row>
    <row r="11" spans="1:5" x14ac:dyDescent="0.25">
      <c r="A11" s="40" t="s">
        <v>42</v>
      </c>
      <c r="B11" s="41">
        <v>135000</v>
      </c>
      <c r="C11" s="41">
        <v>137000</v>
      </c>
      <c r="D11" s="41">
        <v>138000</v>
      </c>
      <c r="E11" s="42">
        <f t="shared" si="0"/>
        <v>410000</v>
      </c>
    </row>
    <row r="12" spans="1:5" x14ac:dyDescent="0.25">
      <c r="A12" s="34" t="s">
        <v>43</v>
      </c>
      <c r="B12" s="35">
        <v>149000</v>
      </c>
      <c r="C12" s="35">
        <v>85000</v>
      </c>
      <c r="D12" s="35">
        <v>147000</v>
      </c>
      <c r="E12" s="36">
        <f t="shared" si="0"/>
        <v>381000</v>
      </c>
    </row>
    <row r="13" spans="1:5" ht="15.75" thickBot="1" x14ac:dyDescent="0.3">
      <c r="A13" s="37" t="s">
        <v>44</v>
      </c>
      <c r="B13" s="38">
        <v>57000</v>
      </c>
      <c r="C13" s="38">
        <v>88000</v>
      </c>
      <c r="D13" s="38">
        <v>55000</v>
      </c>
      <c r="E13" s="39">
        <f t="shared" si="0"/>
        <v>200000</v>
      </c>
    </row>
    <row r="14" spans="1:5" ht="15.75" thickBot="1" x14ac:dyDescent="0.3">
      <c r="A14" s="31" t="s">
        <v>45</v>
      </c>
      <c r="B14" s="32">
        <f>SUM($B$11:$B$13)</f>
        <v>341000</v>
      </c>
      <c r="C14" s="32">
        <f>SUM($C$11:$C$13)</f>
        <v>310000</v>
      </c>
      <c r="D14" s="32">
        <f>SUM($D$11:$D$13)</f>
        <v>340000</v>
      </c>
      <c r="E14" s="33">
        <f>SUM($B$14:$D$14)</f>
        <v>991000</v>
      </c>
    </row>
    <row r="15" spans="1:5" x14ac:dyDescent="0.25">
      <c r="A15" s="40" t="s">
        <v>46</v>
      </c>
      <c r="B15" s="41">
        <v>143000</v>
      </c>
      <c r="C15" s="41">
        <v>69000</v>
      </c>
      <c r="D15" s="41">
        <v>107000</v>
      </c>
      <c r="E15" s="42">
        <f t="shared" si="0"/>
        <v>319000</v>
      </c>
    </row>
    <row r="16" spans="1:5" x14ac:dyDescent="0.25">
      <c r="A16" s="34" t="s">
        <v>47</v>
      </c>
      <c r="B16" s="35">
        <v>112000</v>
      </c>
      <c r="C16" s="35">
        <v>78000</v>
      </c>
      <c r="D16" s="35">
        <v>101000</v>
      </c>
      <c r="E16" s="36">
        <f t="shared" si="0"/>
        <v>291000</v>
      </c>
    </row>
    <row r="17" spans="1:5" x14ac:dyDescent="0.25">
      <c r="A17" s="34" t="s">
        <v>48</v>
      </c>
      <c r="B17" s="35">
        <v>146000</v>
      </c>
      <c r="C17" s="35">
        <v>58000</v>
      </c>
      <c r="D17" s="35">
        <v>133000</v>
      </c>
      <c r="E17" s="36">
        <f t="shared" si="0"/>
        <v>337000</v>
      </c>
    </row>
    <row r="18" spans="1:5" ht="15.75" thickBot="1" x14ac:dyDescent="0.3">
      <c r="A18" s="37" t="s">
        <v>49</v>
      </c>
      <c r="B18" s="38">
        <v>92000</v>
      </c>
      <c r="C18" s="38">
        <v>90000</v>
      </c>
      <c r="D18" s="38">
        <v>84000</v>
      </c>
      <c r="E18" s="39">
        <f t="shared" si="0"/>
        <v>266000</v>
      </c>
    </row>
    <row r="19" spans="1:5" ht="15.75" thickBot="1" x14ac:dyDescent="0.3">
      <c r="A19" s="31" t="s">
        <v>50</v>
      </c>
      <c r="B19" s="32">
        <f>SUM($B$15:$B$18)</f>
        <v>493000</v>
      </c>
      <c r="C19" s="32">
        <f>SUM($C$15:$C$18)</f>
        <v>295000</v>
      </c>
      <c r="D19" s="32">
        <f>SUM($D$15:$D$18)</f>
        <v>425000</v>
      </c>
      <c r="E19" s="33">
        <f>SUM($B$19:$D$19)</f>
        <v>1213000</v>
      </c>
    </row>
    <row r="20" spans="1:5" ht="15.75" thickBot="1" x14ac:dyDescent="0.3">
      <c r="A20" s="43" t="s">
        <v>27</v>
      </c>
      <c r="B20" s="44">
        <f>SUM($B$10,$B$14,$B$19)</f>
        <v>1961000</v>
      </c>
      <c r="C20" s="44">
        <f>SUM($C$10,$C$14,$C$19)</f>
        <v>1562000</v>
      </c>
      <c r="D20" s="44">
        <f>SUM($D$10,$D$14,$D$19)</f>
        <v>1734000</v>
      </c>
      <c r="E20" s="45">
        <f>SUM($B$20:$D$20)</f>
        <v>5257000</v>
      </c>
    </row>
    <row r="38" spans="1:5" ht="15.75" thickBot="1" x14ac:dyDescent="0.3">
      <c r="A38" s="30" t="s">
        <v>29</v>
      </c>
      <c r="B38" s="30" t="s">
        <v>30</v>
      </c>
      <c r="C38" s="30" t="s">
        <v>31</v>
      </c>
      <c r="D38" s="30" t="s">
        <v>32</v>
      </c>
      <c r="E38" s="30" t="s">
        <v>27</v>
      </c>
    </row>
    <row r="39" spans="1:5" ht="15.75" thickBot="1" x14ac:dyDescent="0.3">
      <c r="A39" s="31" t="s">
        <v>41</v>
      </c>
      <c r="B39" s="32">
        <f>SUM($B$2:$B$9)</f>
        <v>1127000</v>
      </c>
      <c r="C39" s="32">
        <f>SUM($C$2:$C$9)</f>
        <v>957000</v>
      </c>
      <c r="D39" s="32">
        <f>SUM($D$2:$D$9)</f>
        <v>969000</v>
      </c>
      <c r="E39" s="33">
        <f>SUM($B$10:$D$10)</f>
        <v>3053000</v>
      </c>
    </row>
    <row r="40" spans="1:5" ht="15.75" thickBot="1" x14ac:dyDescent="0.3">
      <c r="A40" s="31" t="s">
        <v>45</v>
      </c>
      <c r="B40" s="32">
        <f>SUM($B$11:$B$13)</f>
        <v>341000</v>
      </c>
      <c r="C40" s="32">
        <f>SUM($C$11:$C$13)</f>
        <v>310000</v>
      </c>
      <c r="D40" s="32">
        <f>SUM($D$11:$D$13)</f>
        <v>340000</v>
      </c>
      <c r="E40" s="33">
        <f>SUM($B$14:$D$14)</f>
        <v>991000</v>
      </c>
    </row>
    <row r="41" spans="1:5" ht="15.75" thickBot="1" x14ac:dyDescent="0.3">
      <c r="A41" s="31" t="s">
        <v>50</v>
      </c>
      <c r="B41" s="32">
        <f>SUM($B$15:$B$18)</f>
        <v>493000</v>
      </c>
      <c r="C41" s="32">
        <f>SUM($C$15:$C$18)</f>
        <v>295000</v>
      </c>
      <c r="D41" s="32">
        <f>SUM($D$15:$D$18)</f>
        <v>425000</v>
      </c>
      <c r="E41" s="33">
        <f>SUM($B$19:$D$19)</f>
        <v>1213000</v>
      </c>
    </row>
    <row r="42" spans="1:5" ht="15.75" thickBot="1" x14ac:dyDescent="0.3">
      <c r="A42" s="43" t="s">
        <v>27</v>
      </c>
      <c r="B42" s="44">
        <f>SUM($B$10,$B$14,$B$19)</f>
        <v>1961000</v>
      </c>
      <c r="C42" s="44">
        <f>SUM($C$10,$C$14,$C$19)</f>
        <v>1562000</v>
      </c>
      <c r="D42" s="44">
        <f>SUM($D$10,$D$14,$D$19)</f>
        <v>1734000</v>
      </c>
      <c r="E42" s="45">
        <f>SUM($B$20:$D$20)</f>
        <v>5257000</v>
      </c>
    </row>
  </sheetData>
  <pageMargins left="0.7" right="0.7" top="0.75" bottom="0.75" header="0.3" footer="0.3"/>
  <ignoredErrors>
    <ignoredError sqref="E10 E1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VENTAS2013</vt:lpstr>
      <vt:lpstr>TEMPERATURAS</vt:lpstr>
      <vt:lpstr>VUELOS</vt:lpstr>
      <vt:lpstr>FERRETERÍA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2026-05-27T10:41:26Z</dcterms:created>
  <dcterms:modified xsi:type="dcterms:W3CDTF">2026-05-29T07:59:53Z</dcterms:modified>
</cp:coreProperties>
</file>