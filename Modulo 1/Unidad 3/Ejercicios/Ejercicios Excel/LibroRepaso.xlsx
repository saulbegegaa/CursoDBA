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"/>
    </mc:Choice>
  </mc:AlternateContent>
  <xr:revisionPtr revIDLastSave="0" documentId="8_{B2A74250-576B-42E3-805E-E44CB2036B1B}" xr6:coauthVersionLast="47" xr6:coauthVersionMax="47" xr10:uidLastSave="{00000000-0000-0000-0000-000000000000}"/>
  <bookViews>
    <workbookView xWindow="-120" yWindow="-120" windowWidth="20730" windowHeight="11160" activeTab="1" xr2:uid="{44B8E166-E613-44C6-84CB-065BB2BAB0F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3" i="3"/>
  <c r="E4" i="3"/>
  <c r="E5" i="3"/>
  <c r="D3" i="3"/>
  <c r="D4" i="3"/>
  <c r="D5" i="3"/>
  <c r="D6" i="3"/>
  <c r="D7" i="3"/>
  <c r="D8" i="3"/>
  <c r="D9" i="3"/>
  <c r="D10" i="3"/>
  <c r="D2" i="3"/>
  <c r="F2" i="3" s="1"/>
  <c r="B2" i="3"/>
  <c r="B3" i="3"/>
  <c r="B4" i="3"/>
  <c r="B5" i="3"/>
  <c r="B7" i="3"/>
  <c r="B8" i="3"/>
  <c r="B9" i="3"/>
  <c r="B10" i="3"/>
  <c r="B6" i="3"/>
  <c r="E6" i="3" s="1"/>
  <c r="G4" i="3"/>
  <c r="F3" i="3"/>
  <c r="F4" i="3"/>
  <c r="F5" i="3"/>
  <c r="G3" i="3"/>
  <c r="G5" i="3"/>
  <c r="D15" i="2"/>
  <c r="G15" i="2" s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D9" i="2"/>
  <c r="G9" i="2" s="1"/>
  <c r="D10" i="2"/>
  <c r="G10" i="2" s="1"/>
  <c r="D11" i="2"/>
  <c r="G11" i="2" s="1"/>
  <c r="D12" i="2"/>
  <c r="G12" i="2" s="1"/>
  <c r="D13" i="2"/>
  <c r="G13" i="2" s="1"/>
  <c r="D14" i="2"/>
  <c r="G14" i="2" s="1"/>
  <c r="D16" i="2"/>
  <c r="G16" i="2" s="1"/>
  <c r="D17" i="2"/>
  <c r="G17" i="2" s="1"/>
  <c r="D18" i="2"/>
  <c r="G18" i="2" s="1"/>
  <c r="D19" i="2"/>
  <c r="G19" i="2" s="1"/>
  <c r="D20" i="2"/>
  <c r="D21" i="2"/>
  <c r="D22" i="2"/>
  <c r="D23" i="2"/>
  <c r="G23" i="2" s="1"/>
  <c r="G20" i="2"/>
  <c r="G21" i="2"/>
  <c r="G22" i="2"/>
  <c r="G8" i="2"/>
  <c r="F8" i="2"/>
  <c r="D8" i="2"/>
  <c r="E2" i="3" l="1"/>
  <c r="G2" i="3" s="1"/>
</calcChain>
</file>

<file path=xl/sharedStrings.xml><?xml version="1.0" encoding="utf-8"?>
<sst xmlns="http://schemas.openxmlformats.org/spreadsheetml/2006/main" count="57" uniqueCount="38">
  <si>
    <t>CODIGO</t>
  </si>
  <si>
    <t>ARTICULO</t>
  </si>
  <si>
    <t>PRECIO</t>
  </si>
  <si>
    <t>X1A</t>
  </si>
  <si>
    <t>JK2</t>
  </si>
  <si>
    <t>L33</t>
  </si>
  <si>
    <t>AR5</t>
  </si>
  <si>
    <t>IUW</t>
  </si>
  <si>
    <t>GGA</t>
  </si>
  <si>
    <t>ZZS</t>
  </si>
  <si>
    <t>Ordenador</t>
  </si>
  <si>
    <t>Disco Duro</t>
  </si>
  <si>
    <t>CD Rom</t>
  </si>
  <si>
    <t>Tarjeta de Sonido</t>
  </si>
  <si>
    <t>Altavoces</t>
  </si>
  <si>
    <t>Ratón</t>
  </si>
  <si>
    <t>Grabadora</t>
  </si>
  <si>
    <t>Fecha</t>
  </si>
  <si>
    <t>Cliente</t>
  </si>
  <si>
    <t>Saúl Begega Álvarez</t>
  </si>
  <si>
    <t>CÓDIGO</t>
  </si>
  <si>
    <t>DESCRIPCIÓN</t>
  </si>
  <si>
    <t>CANTIDAD</t>
  </si>
  <si>
    <t>IMPORTE</t>
  </si>
  <si>
    <t>COD</t>
  </si>
  <si>
    <t>TVC123</t>
  </si>
  <si>
    <t>VHS198</t>
  </si>
  <si>
    <t>MTV100</t>
  </si>
  <si>
    <t>ALT234</t>
  </si>
  <si>
    <t>CONCEPTO</t>
  </si>
  <si>
    <t>Televisor Color 28"</t>
  </si>
  <si>
    <t>Video VHS 4 Cabezales</t>
  </si>
  <si>
    <t>Mueble TV</t>
  </si>
  <si>
    <t>Altavoces 3 vías</t>
  </si>
  <si>
    <t>UD/EUROS</t>
  </si>
  <si>
    <t>UD/LIBRAS</t>
  </si>
  <si>
    <t>TOT/EUR</t>
  </si>
  <si>
    <t>TOT/LIBRAS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</si>
</sst>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0" fillId="0" borderId="0" xfId="0" applyBorder="1"/>
    <xf numFmtId="0" fontId="2" fillId="0" borderId="6" xfId="0" applyFont="1" applyBorder="1"/>
    <xf numFmtId="0" fontId="0" fillId="0" borderId="7" xfId="0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5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EF92-0B1E-4A19-96AB-12E3C5E0567C}">
  <dimension ref="D2:F10"/>
  <sheetViews>
    <sheetView workbookViewId="0">
      <selection activeCell="I8" sqref="I8"/>
    </sheetView>
  </sheetViews>
  <sheetFormatPr baseColWidth="10" defaultRowHeight="15" x14ac:dyDescent="0.25"/>
  <cols>
    <col min="4" max="4" width="8.140625" bestFit="1" customWidth="1"/>
    <col min="5" max="5" width="16.5703125" bestFit="1" customWidth="1"/>
    <col min="6" max="6" width="9.5703125" bestFit="1" customWidth="1"/>
  </cols>
  <sheetData>
    <row r="2" spans="4:6" ht="15.75" thickBot="1" x14ac:dyDescent="0.3"/>
    <row r="3" spans="4:6" x14ac:dyDescent="0.25">
      <c r="D3" s="1" t="s">
        <v>0</v>
      </c>
      <c r="E3" s="2" t="s">
        <v>1</v>
      </c>
      <c r="F3" s="3" t="s">
        <v>2</v>
      </c>
    </row>
    <row r="4" spans="4:6" x14ac:dyDescent="0.25">
      <c r="D4" s="4" t="s">
        <v>3</v>
      </c>
      <c r="E4" s="5" t="s">
        <v>10</v>
      </c>
      <c r="F4" s="13">
        <v>1081.82</v>
      </c>
    </row>
    <row r="5" spans="4:6" x14ac:dyDescent="0.25">
      <c r="D5" s="4" t="s">
        <v>4</v>
      </c>
      <c r="E5" s="5" t="s">
        <v>11</v>
      </c>
      <c r="F5" s="13">
        <v>210.35</v>
      </c>
    </row>
    <row r="6" spans="4:6" x14ac:dyDescent="0.25">
      <c r="D6" s="4" t="s">
        <v>5</v>
      </c>
      <c r="E6" s="5" t="s">
        <v>12</v>
      </c>
      <c r="F6" s="13">
        <v>168.28</v>
      </c>
    </row>
    <row r="7" spans="4:6" x14ac:dyDescent="0.25">
      <c r="D7" s="4" t="s">
        <v>6</v>
      </c>
      <c r="E7" s="5" t="s">
        <v>13</v>
      </c>
      <c r="F7" s="13">
        <v>90.15</v>
      </c>
    </row>
    <row r="8" spans="4:6" x14ac:dyDescent="0.25">
      <c r="D8" s="4" t="s">
        <v>7</v>
      </c>
      <c r="E8" s="5" t="s">
        <v>14</v>
      </c>
      <c r="F8" s="13">
        <v>30.05</v>
      </c>
    </row>
    <row r="9" spans="4:6" x14ac:dyDescent="0.25">
      <c r="D9" s="4" t="s">
        <v>8</v>
      </c>
      <c r="E9" s="5" t="s">
        <v>15</v>
      </c>
      <c r="F9" s="13">
        <v>24.04</v>
      </c>
    </row>
    <row r="10" spans="4:6" ht="15.75" thickBot="1" x14ac:dyDescent="0.3">
      <c r="D10" s="6" t="s">
        <v>9</v>
      </c>
      <c r="E10" s="7" t="s">
        <v>16</v>
      </c>
      <c r="F10" s="14">
        <v>480.81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10CC-6A95-472B-8CCF-92AB149E597B}">
  <dimension ref="C3:H23"/>
  <sheetViews>
    <sheetView tabSelected="1" topLeftCell="A4" workbookViewId="0">
      <selection activeCell="J20" sqref="J20"/>
    </sheetView>
  </sheetViews>
  <sheetFormatPr baseColWidth="10" defaultRowHeight="15" x14ac:dyDescent="0.25"/>
  <cols>
    <col min="1" max="2" width="11.42578125" style="8"/>
    <col min="3" max="3" width="8.28515625" style="8" bestFit="1" customWidth="1"/>
    <col min="4" max="4" width="18.7109375" style="8" bestFit="1" customWidth="1"/>
    <col min="5" max="5" width="10.28515625" style="8" bestFit="1" customWidth="1"/>
    <col min="6" max="6" width="9.5703125" style="8" bestFit="1" customWidth="1"/>
    <col min="7" max="7" width="29.7109375" style="8" bestFit="1" customWidth="1"/>
    <col min="8" max="16384" width="11.42578125" style="8"/>
  </cols>
  <sheetData>
    <row r="3" spans="3:8" x14ac:dyDescent="0.25">
      <c r="C3" s="11" t="s">
        <v>17</v>
      </c>
      <c r="D3" s="9">
        <v>46175</v>
      </c>
    </row>
    <row r="4" spans="3:8" x14ac:dyDescent="0.25">
      <c r="C4" s="11" t="s">
        <v>18</v>
      </c>
      <c r="D4" s="8" t="s">
        <v>19</v>
      </c>
    </row>
    <row r="7" spans="3:8" x14ac:dyDescent="0.25">
      <c r="C7" s="11" t="s">
        <v>20</v>
      </c>
      <c r="D7" s="11" t="s">
        <v>21</v>
      </c>
      <c r="E7" s="11" t="s">
        <v>22</v>
      </c>
      <c r="F7" s="11" t="s">
        <v>2</v>
      </c>
      <c r="G7" s="11" t="s">
        <v>23</v>
      </c>
      <c r="H7"/>
    </row>
    <row r="8" spans="3:8" x14ac:dyDescent="0.25">
      <c r="C8" s="12" t="s">
        <v>3</v>
      </c>
      <c r="D8" s="8" t="str">
        <f>IFERROR(VLOOKUP(C8,Hoja1!$D$4:$F$10,2,0),"")</f>
        <v>Ordenador</v>
      </c>
      <c r="E8" s="8">
        <v>3</v>
      </c>
      <c r="F8" s="10">
        <f>IFERROR(VLOOKUP(C8,Hoja1!$D$4:$F$10,3,0),"")</f>
        <v>1081.82</v>
      </c>
      <c r="G8" s="10">
        <f t="shared" ref="G8:G22" si="0">IF(D8="","",IF(E8="","Introduce una cantidad",F8*E8))</f>
        <v>3245.46</v>
      </c>
    </row>
    <row r="9" spans="3:8" x14ac:dyDescent="0.25">
      <c r="C9" s="12" t="s">
        <v>4</v>
      </c>
      <c r="D9" s="8" t="str">
        <f>IFERROR(VLOOKUP(C9,Hoja1!$D$4:$F$10,2,0),"")</f>
        <v>Disco Duro</v>
      </c>
      <c r="E9" s="8">
        <v>6</v>
      </c>
      <c r="F9" s="10">
        <f>IFERROR(VLOOKUP(C9,Hoja1!$D$4:$F$10,3,0),"")</f>
        <v>210.35</v>
      </c>
      <c r="G9" s="10">
        <f t="shared" si="0"/>
        <v>1262.0999999999999</v>
      </c>
    </row>
    <row r="10" spans="3:8" x14ac:dyDescent="0.25">
      <c r="C10" s="12" t="s">
        <v>5</v>
      </c>
      <c r="D10" s="8" t="str">
        <f>IFERROR(VLOOKUP(C10,Hoja1!$D$4:$F$10,2,0),"")</f>
        <v>CD Rom</v>
      </c>
      <c r="E10" s="8">
        <v>3</v>
      </c>
      <c r="F10" s="10">
        <f>IFERROR(VLOOKUP(C10,Hoja1!$D$4:$F$10,3,0),"")</f>
        <v>168.28</v>
      </c>
      <c r="G10" s="10">
        <f t="shared" si="0"/>
        <v>504.84000000000003</v>
      </c>
    </row>
    <row r="11" spans="3:8" x14ac:dyDescent="0.25">
      <c r="C11" s="12" t="s">
        <v>6</v>
      </c>
      <c r="D11" s="8" t="str">
        <f>IFERROR(VLOOKUP(C11,Hoja1!$D$4:$F$10,2,0),"")</f>
        <v>Tarjeta de Sonido</v>
      </c>
      <c r="E11" s="8">
        <v>2</v>
      </c>
      <c r="F11" s="10">
        <f>IFERROR(VLOOKUP(C11,Hoja1!$D$4:$F$10,3,0),"")</f>
        <v>90.15</v>
      </c>
      <c r="G11" s="10">
        <f t="shared" si="0"/>
        <v>180.3</v>
      </c>
    </row>
    <row r="12" spans="3:8" x14ac:dyDescent="0.25">
      <c r="C12" s="12" t="s">
        <v>7</v>
      </c>
      <c r="D12" s="8" t="str">
        <f>IFERROR(VLOOKUP(C12,Hoja1!$D$4:$F$10,2,0),"")</f>
        <v>Altavoces</v>
      </c>
      <c r="E12" s="8">
        <v>159</v>
      </c>
      <c r="F12" s="10">
        <f>IFERROR(VLOOKUP(C12,Hoja1!$D$4:$F$10,3,0),"")</f>
        <v>30.05</v>
      </c>
      <c r="G12" s="10">
        <f t="shared" si="0"/>
        <v>4777.95</v>
      </c>
    </row>
    <row r="13" spans="3:8" x14ac:dyDescent="0.25">
      <c r="C13" s="12" t="s">
        <v>8</v>
      </c>
      <c r="D13" s="8" t="str">
        <f>IFERROR(VLOOKUP(C13,Hoja1!$D$4:$F$10,2,0),"")</f>
        <v>Ratón</v>
      </c>
      <c r="F13" s="10">
        <f>IFERROR(VLOOKUP(C13,Hoja1!$D$4:$F$10,3,0),"")</f>
        <v>24.04</v>
      </c>
      <c r="G13" s="10" t="str">
        <f t="shared" si="0"/>
        <v>Introduce una cantidad</v>
      </c>
    </row>
    <row r="14" spans="3:8" x14ac:dyDescent="0.25">
      <c r="C14" s="12" t="s">
        <v>9</v>
      </c>
      <c r="D14" s="8" t="str">
        <f>IFERROR(VLOOKUP(C14,Hoja1!$D$4:$F$10,2,0),"")</f>
        <v>Grabadora</v>
      </c>
      <c r="E14" s="8">
        <v>0</v>
      </c>
      <c r="F14" s="10">
        <f>IFERROR(VLOOKUP(C14,Hoja1!$D$4:$F$10,3,0),"")</f>
        <v>480.81</v>
      </c>
      <c r="G14" s="10">
        <f t="shared" si="0"/>
        <v>0</v>
      </c>
    </row>
    <row r="15" spans="3:8" x14ac:dyDescent="0.25">
      <c r="C15" s="12" t="s">
        <v>4</v>
      </c>
      <c r="D15" s="8" t="str">
        <f>IFERROR(VLOOKUP(C15,Hoja1!$D$4:$F$10,2,0),"")</f>
        <v>Disco Duro</v>
      </c>
      <c r="F15" s="10">
        <f>IFERROR(VLOOKUP(C15,Hoja1!$D$4:$F$10,3,0),"")</f>
        <v>210.35</v>
      </c>
      <c r="G15" s="10" t="str">
        <f>IF(D15="","",IF(E15="","Introduce una cantidad",F15*E15))</f>
        <v>Introduce una cantidad</v>
      </c>
    </row>
    <row r="16" spans="3:8" x14ac:dyDescent="0.25">
      <c r="C16" s="12" t="s">
        <v>4</v>
      </c>
      <c r="D16" s="8" t="str">
        <f>IFERROR(VLOOKUP(C16,Hoja1!$D$4:$F$10,2,0),"")</f>
        <v>Disco Duro</v>
      </c>
      <c r="E16" s="8">
        <v>0</v>
      </c>
      <c r="F16" s="10">
        <f>IFERROR(VLOOKUP(C16,Hoja1!$D$4:$F$10,3,0),"")</f>
        <v>210.35</v>
      </c>
      <c r="G16" s="10">
        <f t="shared" si="0"/>
        <v>0</v>
      </c>
    </row>
    <row r="17" spans="3:7" x14ac:dyDescent="0.25">
      <c r="C17" s="12"/>
      <c r="D17" s="8" t="str">
        <f>IFERROR(VLOOKUP(C17,Hoja1!$D$4:$F$10,2,0),"")</f>
        <v/>
      </c>
      <c r="F17" s="10" t="str">
        <f>IFERROR(VLOOKUP(C17,Hoja1!$D$4:$F$10,3,0),"")</f>
        <v/>
      </c>
      <c r="G17" s="10" t="str">
        <f t="shared" si="0"/>
        <v/>
      </c>
    </row>
    <row r="18" spans="3:7" x14ac:dyDescent="0.25">
      <c r="C18" s="12"/>
      <c r="D18" s="8" t="str">
        <f>IFERROR(VLOOKUP(C18,Hoja1!$D$4:$F$10,2,0),"")</f>
        <v/>
      </c>
      <c r="F18" s="10" t="str">
        <f>IFERROR(VLOOKUP(C18,Hoja1!$D$4:$F$10,3,0),"")</f>
        <v/>
      </c>
      <c r="G18" s="10" t="str">
        <f t="shared" si="0"/>
        <v/>
      </c>
    </row>
    <row r="19" spans="3:7" x14ac:dyDescent="0.25">
      <c r="C19" s="12"/>
      <c r="D19" s="8" t="str">
        <f>IFERROR(VLOOKUP(C19,Hoja1!$D$4:$F$10,2,0),"")</f>
        <v/>
      </c>
      <c r="F19" s="10" t="str">
        <f>IFERROR(VLOOKUP(C19,Hoja1!$D$4:$F$10,3,0),"")</f>
        <v/>
      </c>
      <c r="G19" s="10" t="str">
        <f t="shared" si="0"/>
        <v/>
      </c>
    </row>
    <row r="20" spans="3:7" x14ac:dyDescent="0.25">
      <c r="C20" s="12"/>
      <c r="D20" s="8" t="str">
        <f>IFERROR(VLOOKUP(C20,Hoja1!$D$4:$F$10,2,0),"")</f>
        <v/>
      </c>
      <c r="F20" s="10" t="str">
        <f>IFERROR(VLOOKUP(C20,Hoja1!$D$4:$F$10,3,0),"")</f>
        <v/>
      </c>
      <c r="G20" s="10" t="str">
        <f t="shared" si="0"/>
        <v/>
      </c>
    </row>
    <row r="21" spans="3:7" x14ac:dyDescent="0.25">
      <c r="C21" s="12"/>
      <c r="D21" s="8" t="str">
        <f>IFERROR(VLOOKUP(C21,Hoja1!$D$4:$F$10,2,0),"")</f>
        <v/>
      </c>
      <c r="F21" s="10" t="str">
        <f>IFERROR(VLOOKUP(C21,Hoja1!$D$4:$F$10,3,0),"")</f>
        <v/>
      </c>
      <c r="G21" s="10" t="str">
        <f t="shared" si="0"/>
        <v/>
      </c>
    </row>
    <row r="22" spans="3:7" x14ac:dyDescent="0.25">
      <c r="C22" s="12"/>
      <c r="D22" s="8" t="str">
        <f>IFERROR(VLOOKUP(C22,Hoja1!$D$4:$F$10,2,0),"")</f>
        <v/>
      </c>
      <c r="F22" s="10" t="str">
        <f>IFERROR(VLOOKUP(C22,Hoja1!$D$4:$F$10,3,0),"")</f>
        <v/>
      </c>
      <c r="G22" s="10" t="str">
        <f t="shared" si="0"/>
        <v/>
      </c>
    </row>
    <row r="23" spans="3:7" x14ac:dyDescent="0.25">
      <c r="C23" s="12"/>
      <c r="D23" s="8" t="str">
        <f>IFERROR(VLOOKUP(C23,Hoja1!$D$4:$F$10,2,0),"")</f>
        <v/>
      </c>
      <c r="F23" s="10" t="str">
        <f>IFERROR(VLOOKUP(C23,Hoja1!$D$4:$F$10,3,0),"")</f>
        <v/>
      </c>
      <c r="G23" s="10" t="str">
        <f>IF(D23="","",IF(E23="","Introduce una cantidad",F23*E23))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6A1988-A1F9-4311-9A1E-C0E9CE2EA35A}">
          <x14:formula1>
            <xm:f>Hoja1!$D$4:$D$10</xm:f>
          </x14:formula1>
          <xm:sqref>C8:C24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6A60-583E-4647-B78A-19A315DEDFD7}">
  <dimension ref="A1:G17"/>
  <sheetViews>
    <sheetView workbookViewId="0">
      <selection activeCell="A7" sqref="A7"/>
    </sheetView>
  </sheetViews>
  <sheetFormatPr baseColWidth="10" defaultRowHeight="15" x14ac:dyDescent="0.25"/>
  <cols>
    <col min="1" max="1" width="8" bestFit="1" customWidth="1"/>
    <col min="2" max="2" width="21.28515625" bestFit="1" customWidth="1"/>
    <col min="3" max="4" width="10.28515625" bestFit="1" customWidth="1"/>
    <col min="5" max="5" width="21.5703125" bestFit="1" customWidth="1"/>
    <col min="6" max="6" width="8.7109375" bestFit="1" customWidth="1"/>
    <col min="7" max="7" width="11.28515625" bestFit="1" customWidth="1"/>
  </cols>
  <sheetData>
    <row r="1" spans="1:7" x14ac:dyDescent="0.25">
      <c r="A1" t="s">
        <v>24</v>
      </c>
      <c r="B1" t="s">
        <v>29</v>
      </c>
      <c r="C1" t="s">
        <v>22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25</v>
      </c>
      <c r="B2" t="str">
        <f t="shared" ref="B2:B5" si="0">IFERROR(VLOOKUP(A2,$A$14:$C$17,2,),"")</f>
        <v>Televisor Color 28"</v>
      </c>
      <c r="C2">
        <v>1</v>
      </c>
      <c r="D2">
        <f>IFERROR(VLOOKUP(A2,$A$14:$C$17,3,),"")</f>
        <v>725.95</v>
      </c>
      <c r="E2">
        <f>D2*0.86</f>
        <v>624.31700000000001</v>
      </c>
      <c r="F2">
        <f>D2*C2</f>
        <v>725.95</v>
      </c>
      <c r="G2">
        <f>E2*C2</f>
        <v>624.31700000000001</v>
      </c>
    </row>
    <row r="3" spans="1:7" x14ac:dyDescent="0.25">
      <c r="A3" t="s">
        <v>26</v>
      </c>
      <c r="B3" t="str">
        <f t="shared" si="0"/>
        <v>Video VHS 4 Cabezales</v>
      </c>
      <c r="C3">
        <v>1</v>
      </c>
      <c r="D3">
        <f t="shared" ref="D3:D10" si="1">IFERROR(VLOOKUP(A3,$A$14:$C$17,3,),"")</f>
        <v>540.9</v>
      </c>
      <c r="E3">
        <f t="shared" ref="E3:E10" si="2">D3*0.86</f>
        <v>465.17399999999998</v>
      </c>
      <c r="F3">
        <f t="shared" ref="F3:F5" si="3">D3*C3</f>
        <v>540.9</v>
      </c>
      <c r="G3">
        <f t="shared" ref="G3:G5" si="4">E3*C3</f>
        <v>465.17399999999998</v>
      </c>
    </row>
    <row r="4" spans="1:7" x14ac:dyDescent="0.25">
      <c r="A4" t="s">
        <v>27</v>
      </c>
      <c r="B4" t="str">
        <f t="shared" si="0"/>
        <v>Mueble TV</v>
      </c>
      <c r="C4">
        <v>1</v>
      </c>
      <c r="D4">
        <f t="shared" si="1"/>
        <v>180.3</v>
      </c>
      <c r="E4">
        <f t="shared" si="2"/>
        <v>155.05800000000002</v>
      </c>
      <c r="F4">
        <f t="shared" si="3"/>
        <v>180.3</v>
      </c>
      <c r="G4">
        <f t="shared" si="4"/>
        <v>155.05800000000002</v>
      </c>
    </row>
    <row r="5" spans="1:7" x14ac:dyDescent="0.25">
      <c r="A5" t="s">
        <v>28</v>
      </c>
      <c r="B5" t="str">
        <f t="shared" si="0"/>
        <v>Altavoces 3 vías</v>
      </c>
      <c r="C5">
        <v>2</v>
      </c>
      <c r="D5">
        <f t="shared" si="1"/>
        <v>90.15</v>
      </c>
      <c r="E5">
        <f t="shared" si="2"/>
        <v>77.529000000000011</v>
      </c>
      <c r="F5">
        <f t="shared" si="3"/>
        <v>180.3</v>
      </c>
      <c r="G5">
        <f t="shared" si="4"/>
        <v>155.05800000000002</v>
      </c>
    </row>
    <row r="6" spans="1:7" x14ac:dyDescent="0.25">
      <c r="A6" t="s">
        <v>26</v>
      </c>
      <c r="B6" t="str">
        <f>IFERROR(VLOOKUP(A6,$A$14:$C$17,2,),"")</f>
        <v>Video VHS 4 Cabezales</v>
      </c>
      <c r="D6">
        <f t="shared" si="1"/>
        <v>540.9</v>
      </c>
      <c r="E6" t="str">
        <f>IF(B6="","",IF(C6="","Introduce una cantidad",D6*0.86))</f>
        <v>Introduce una cantidad</v>
      </c>
    </row>
    <row r="7" spans="1:7" x14ac:dyDescent="0.25">
      <c r="B7" t="str">
        <f t="shared" ref="B7:B10" si="5">IFERROR(VLOOKUP(A7,$A$14:$C$17,2,),"")</f>
        <v/>
      </c>
      <c r="D7" t="str">
        <f t="shared" si="1"/>
        <v/>
      </c>
      <c r="E7" t="str">
        <f t="shared" ref="E7:E10" si="6">IF(B7="","",(IF(C7="","Introduce una cantidad",D7*0.86)))</f>
        <v/>
      </c>
    </row>
    <row r="8" spans="1:7" x14ac:dyDescent="0.25">
      <c r="B8" t="str">
        <f t="shared" si="5"/>
        <v/>
      </c>
      <c r="D8" t="str">
        <f t="shared" si="1"/>
        <v/>
      </c>
      <c r="E8" t="str">
        <f t="shared" si="6"/>
        <v/>
      </c>
    </row>
    <row r="9" spans="1:7" x14ac:dyDescent="0.25">
      <c r="B9" t="str">
        <f t="shared" si="5"/>
        <v/>
      </c>
      <c r="D9" t="str">
        <f t="shared" si="1"/>
        <v/>
      </c>
      <c r="E9" t="str">
        <f t="shared" si="6"/>
        <v/>
      </c>
    </row>
    <row r="10" spans="1:7" x14ac:dyDescent="0.25">
      <c r="B10" t="str">
        <f t="shared" si="5"/>
        <v/>
      </c>
      <c r="D10" t="str">
        <f t="shared" si="1"/>
        <v/>
      </c>
      <c r="E10" t="str">
        <f t="shared" si="6"/>
        <v/>
      </c>
    </row>
    <row r="13" spans="1:7" x14ac:dyDescent="0.25">
      <c r="A13" t="s">
        <v>24</v>
      </c>
      <c r="B13" t="s">
        <v>29</v>
      </c>
      <c r="C13" t="s">
        <v>2</v>
      </c>
    </row>
    <row r="14" spans="1:7" x14ac:dyDescent="0.25">
      <c r="A14" t="s">
        <v>25</v>
      </c>
      <c r="B14" t="s">
        <v>30</v>
      </c>
      <c r="C14">
        <v>725.95</v>
      </c>
    </row>
    <row r="15" spans="1:7" x14ac:dyDescent="0.25">
      <c r="A15" t="s">
        <v>26</v>
      </c>
      <c r="B15" t="s">
        <v>31</v>
      </c>
      <c r="C15">
        <v>540.9</v>
      </c>
    </row>
    <row r="16" spans="1:7" x14ac:dyDescent="0.25">
      <c r="A16" t="s">
        <v>27</v>
      </c>
      <c r="B16" t="s">
        <v>32</v>
      </c>
      <c r="C16">
        <v>180.3</v>
      </c>
    </row>
    <row r="17" spans="1:3" x14ac:dyDescent="0.25">
      <c r="A17" t="s">
        <v>28</v>
      </c>
      <c r="B17" t="s">
        <v>33</v>
      </c>
      <c r="C17">
        <v>90.15</v>
      </c>
    </row>
  </sheetData>
  <dataValidations count="1">
    <dataValidation type="list" allowBlank="1" showInputMessage="1" showErrorMessage="1" sqref="A2:A10" xr:uid="{FA555341-C94C-43CF-AF39-E94092D7017D}">
      <formula1>$A$14:$A$17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2026-06-02T10:55:13Z</dcterms:created>
  <dcterms:modified xsi:type="dcterms:W3CDTF">2026-06-02T12:04:51Z</dcterms:modified>
</cp:coreProperties>
</file>