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Modulo 1\Unidad 3\Ejercicios\Ejercicios Excel\"/>
    </mc:Choice>
  </mc:AlternateContent>
  <xr:revisionPtr revIDLastSave="0" documentId="13_ncr:1_{2FDD1AC7-EAD9-431A-B5D5-CC5D4361E683}" xr6:coauthVersionLast="47" xr6:coauthVersionMax="47" xr10:uidLastSave="{00000000-0000-0000-0000-000000000000}"/>
  <bookViews>
    <workbookView xWindow="-120" yWindow="-120" windowWidth="20730" windowHeight="11160" xr2:uid="{DBBABD70-ED71-4651-AEED-2ED761747F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15" i="1"/>
  <c r="H20" i="1"/>
  <c r="J20" i="1" s="1"/>
  <c r="C22" i="1" l="1"/>
  <c r="I22" i="1" l="1"/>
  <c r="J22" i="1" s="1"/>
</calcChain>
</file>

<file path=xl/sharedStrings.xml><?xml version="1.0" encoding="utf-8"?>
<sst xmlns="http://schemas.openxmlformats.org/spreadsheetml/2006/main" count="30" uniqueCount="28">
  <si>
    <t>SONIA OTERO MIRGALL</t>
  </si>
  <si>
    <t>FECHA</t>
  </si>
  <si>
    <t>PAGINA</t>
  </si>
  <si>
    <t>CONTRATO VISA</t>
  </si>
  <si>
    <t>ENTIDAD</t>
  </si>
  <si>
    <t>OFICINA</t>
  </si>
  <si>
    <t>D.C</t>
  </si>
  <si>
    <t>NÚMERO</t>
  </si>
  <si>
    <t>Nº DE CUENTA ASOCIADA</t>
  </si>
  <si>
    <t>01-0002003</t>
  </si>
  <si>
    <t>REFERENCIA</t>
  </si>
  <si>
    <t>CONCEPTO</t>
  </si>
  <si>
    <t>IMPORTE</t>
  </si>
  <si>
    <t>FECHA DE OPERACIÓN</t>
  </si>
  <si>
    <t>TARJETA Nº 111000234</t>
  </si>
  <si>
    <t>AUTOPISTAS DEL MEDITERRÁNEO</t>
  </si>
  <si>
    <t>ZAPATERIA EL SUECO</t>
  </si>
  <si>
    <t>GASOLINERA EL PETRÓLE, SA.</t>
  </si>
  <si>
    <t>HIPERMERCADO ''COME-MUCHO''</t>
  </si>
  <si>
    <t>SALDO ACTUAL…...</t>
  </si>
  <si>
    <t>B2014227</t>
  </si>
  <si>
    <t>LIMITE DE CRÉDITO</t>
  </si>
  <si>
    <t>EXCESO SOBRE LÍMITE</t>
  </si>
  <si>
    <t>%AMORTIZACIÓN</t>
  </si>
  <si>
    <t>%RECARGO</t>
  </si>
  <si>
    <t>TOTAL A PAGAR</t>
  </si>
  <si>
    <t>VENCIMIENTO DE PAGO</t>
  </si>
  <si>
    <t>TITULAR: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</si>
</sst>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14" fontId="1" fillId="2" borderId="3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B02F-7FDF-4850-9660-039CC53597F7}">
  <dimension ref="A2:M22"/>
  <sheetViews>
    <sheetView tabSelected="1" topLeftCell="A13" workbookViewId="0">
      <selection activeCell="H16" sqref="H16:I16"/>
    </sheetView>
  </sheetViews>
  <sheetFormatPr baseColWidth="10" defaultRowHeight="15" x14ac:dyDescent="0.25"/>
  <cols>
    <col min="8" max="8" width="13.42578125" customWidth="1"/>
    <col min="9" max="9" width="14.140625" customWidth="1"/>
    <col min="10" max="10" width="8.7109375" customWidth="1"/>
  </cols>
  <sheetData>
    <row r="2" spans="1:13" ht="15.75" thickBot="1" x14ac:dyDescent="0.3"/>
    <row r="3" spans="1:13" x14ac:dyDescent="0.25">
      <c r="J3" s="8" t="s">
        <v>1</v>
      </c>
      <c r="K3" s="45">
        <v>45746</v>
      </c>
      <c r="L3" s="46"/>
      <c r="M3" s="47"/>
    </row>
    <row r="4" spans="1:13" ht="15.75" thickBot="1" x14ac:dyDescent="0.3">
      <c r="J4" s="2" t="s">
        <v>2</v>
      </c>
      <c r="K4" s="48">
        <v>2</v>
      </c>
      <c r="L4" s="48"/>
      <c r="M4" s="49"/>
    </row>
    <row r="5" spans="1:13" ht="15.75" thickBot="1" x14ac:dyDescent="0.3"/>
    <row r="6" spans="1:13" ht="15.75" thickBot="1" x14ac:dyDescent="0.3">
      <c r="H6" s="50" t="s">
        <v>3</v>
      </c>
      <c r="I6" s="51"/>
      <c r="J6" s="51"/>
      <c r="K6" s="51"/>
      <c r="L6" s="51"/>
      <c r="M6" s="52"/>
    </row>
    <row r="7" spans="1:13" ht="15.75" thickBot="1" x14ac:dyDescent="0.3">
      <c r="H7" s="7" t="s">
        <v>4</v>
      </c>
      <c r="I7" s="7" t="s">
        <v>5</v>
      </c>
      <c r="J7" s="7" t="s">
        <v>6</v>
      </c>
      <c r="K7" s="16" t="s">
        <v>7</v>
      </c>
      <c r="L7" s="23"/>
      <c r="M7" s="17"/>
    </row>
    <row r="8" spans="1:13" ht="20.25" customHeight="1" thickBot="1" x14ac:dyDescent="0.3">
      <c r="A8" s="4" t="s">
        <v>27</v>
      </c>
      <c r="B8" s="43" t="s">
        <v>0</v>
      </c>
      <c r="C8" s="43"/>
      <c r="D8" s="43"/>
      <c r="E8" s="43"/>
      <c r="F8" s="44"/>
      <c r="H8" s="1">
        <v>456</v>
      </c>
      <c r="I8" s="1">
        <v>123</v>
      </c>
      <c r="J8" s="1">
        <v>20</v>
      </c>
      <c r="K8" s="53">
        <v>12345678</v>
      </c>
      <c r="L8" s="54"/>
      <c r="M8" s="55"/>
    </row>
    <row r="9" spans="1:13" ht="15.75" thickBot="1" x14ac:dyDescent="0.3"/>
    <row r="10" spans="1:13" ht="15.75" thickBot="1" x14ac:dyDescent="0.3">
      <c r="H10" s="20" t="s">
        <v>8</v>
      </c>
      <c r="I10" s="21"/>
      <c r="J10" s="21"/>
      <c r="K10" s="21"/>
      <c r="L10" s="21"/>
      <c r="M10" s="22"/>
    </row>
    <row r="11" spans="1:13" ht="15.75" thickBot="1" x14ac:dyDescent="0.3">
      <c r="H11" s="40" t="s">
        <v>9</v>
      </c>
      <c r="I11" s="41"/>
      <c r="J11" s="41"/>
      <c r="K11" s="41"/>
      <c r="L11" s="41"/>
      <c r="M11" s="42"/>
    </row>
    <row r="12" spans="1:13" ht="6.75" customHeight="1" thickBot="1" x14ac:dyDescent="0.3"/>
    <row r="13" spans="1:13" ht="15.75" thickBot="1" x14ac:dyDescent="0.3">
      <c r="A13" s="16" t="s">
        <v>10</v>
      </c>
      <c r="B13" s="23"/>
      <c r="C13" s="23"/>
      <c r="D13" s="23" t="s">
        <v>11</v>
      </c>
      <c r="E13" s="23"/>
      <c r="F13" s="23"/>
      <c r="G13" s="23"/>
      <c r="H13" s="23" t="s">
        <v>12</v>
      </c>
      <c r="I13" s="23"/>
      <c r="J13" s="23"/>
      <c r="K13" s="23" t="s">
        <v>13</v>
      </c>
      <c r="L13" s="23"/>
      <c r="M13" s="17"/>
    </row>
    <row r="14" spans="1:13" ht="26.25" customHeight="1" x14ac:dyDescent="0.25">
      <c r="A14" s="24"/>
      <c r="B14" s="25"/>
      <c r="C14" s="26"/>
      <c r="D14" s="24" t="s">
        <v>14</v>
      </c>
      <c r="E14" s="25"/>
      <c r="F14" s="25"/>
      <c r="G14" s="26"/>
      <c r="H14" s="24"/>
      <c r="I14" s="25"/>
      <c r="J14" s="26"/>
      <c r="K14" s="24"/>
      <c r="L14" s="25"/>
      <c r="M14" s="26"/>
    </row>
    <row r="15" spans="1:13" ht="30.75" customHeight="1" x14ac:dyDescent="0.25">
      <c r="A15" s="36" t="s">
        <v>20</v>
      </c>
      <c r="B15" s="32"/>
      <c r="C15" s="33"/>
      <c r="D15" s="36" t="s">
        <v>15</v>
      </c>
      <c r="E15" s="32"/>
      <c r="F15" s="32"/>
      <c r="G15" s="33"/>
      <c r="H15" s="27">
        <v>23</v>
      </c>
      <c r="I15" s="28"/>
      <c r="J15" s="6" t="str">
        <f>IF(H15&gt;0,"D","H")</f>
        <v>D</v>
      </c>
      <c r="K15" s="31">
        <v>46291</v>
      </c>
      <c r="L15" s="32"/>
      <c r="M15" s="33"/>
    </row>
    <row r="16" spans="1:13" ht="28.5" customHeight="1" x14ac:dyDescent="0.25">
      <c r="A16" s="36" t="s">
        <v>20</v>
      </c>
      <c r="B16" s="32"/>
      <c r="C16" s="33"/>
      <c r="D16" s="36" t="s">
        <v>15</v>
      </c>
      <c r="E16" s="32"/>
      <c r="F16" s="32"/>
      <c r="G16" s="33"/>
      <c r="H16" s="27">
        <v>10</v>
      </c>
      <c r="I16" s="28"/>
      <c r="J16" s="6" t="str">
        <f t="shared" ref="J16:J19" si="0">IF(H16&gt;0,"D","H")</f>
        <v>D</v>
      </c>
      <c r="K16" s="31">
        <v>46291</v>
      </c>
      <c r="L16" s="32"/>
      <c r="M16" s="33"/>
    </row>
    <row r="17" spans="1:13" ht="28.5" customHeight="1" x14ac:dyDescent="0.25">
      <c r="A17" s="36">
        <v>7542213</v>
      </c>
      <c r="B17" s="32"/>
      <c r="C17" s="33"/>
      <c r="D17" s="36" t="s">
        <v>16</v>
      </c>
      <c r="E17" s="32"/>
      <c r="F17" s="32"/>
      <c r="G17" s="33"/>
      <c r="H17" s="27">
        <v>15.7</v>
      </c>
      <c r="I17" s="28"/>
      <c r="J17" s="6" t="str">
        <f t="shared" si="0"/>
        <v>D</v>
      </c>
      <c r="K17" s="31">
        <v>46292</v>
      </c>
      <c r="L17" s="32"/>
      <c r="M17" s="33"/>
    </row>
    <row r="18" spans="1:13" ht="33" customHeight="1" x14ac:dyDescent="0.25">
      <c r="A18" s="36">
        <v>6234501</v>
      </c>
      <c r="B18" s="32"/>
      <c r="C18" s="33"/>
      <c r="D18" s="36" t="s">
        <v>17</v>
      </c>
      <c r="E18" s="32"/>
      <c r="F18" s="32"/>
      <c r="G18" s="33"/>
      <c r="H18" s="27">
        <v>-6</v>
      </c>
      <c r="I18" s="28"/>
      <c r="J18" s="6" t="str">
        <f t="shared" si="0"/>
        <v>H</v>
      </c>
      <c r="K18" s="31">
        <v>46306</v>
      </c>
      <c r="L18" s="32"/>
      <c r="M18" s="33"/>
    </row>
    <row r="19" spans="1:13" ht="33.75" customHeight="1" thickBot="1" x14ac:dyDescent="0.3">
      <c r="A19" s="36">
        <v>4321790</v>
      </c>
      <c r="B19" s="32"/>
      <c r="C19" s="33"/>
      <c r="D19" s="36" t="s">
        <v>18</v>
      </c>
      <c r="E19" s="32"/>
      <c r="F19" s="32"/>
      <c r="G19" s="33"/>
      <c r="H19" s="27">
        <v>140</v>
      </c>
      <c r="I19" s="28"/>
      <c r="J19" s="6" t="str">
        <f t="shared" si="0"/>
        <v>D</v>
      </c>
      <c r="K19" s="31">
        <v>46311</v>
      </c>
      <c r="L19" s="32"/>
      <c r="M19" s="33"/>
    </row>
    <row r="20" spans="1:13" ht="29.25" customHeight="1" thickBot="1" x14ac:dyDescent="0.3">
      <c r="A20" s="39"/>
      <c r="B20" s="34"/>
      <c r="C20" s="35"/>
      <c r="D20" s="37" t="s">
        <v>19</v>
      </c>
      <c r="E20" s="38"/>
      <c r="F20" s="38"/>
      <c r="G20" s="38"/>
      <c r="H20" s="29">
        <f>SUM(H15:I19)</f>
        <v>182.7</v>
      </c>
      <c r="I20" s="30"/>
      <c r="J20" s="5" t="str">
        <f>IF(H20&gt;0,"D","H")</f>
        <v>D</v>
      </c>
      <c r="K20" s="34"/>
      <c r="L20" s="34"/>
      <c r="M20" s="35"/>
    </row>
    <row r="21" spans="1:13" ht="18.75" customHeight="1" thickBot="1" x14ac:dyDescent="0.3">
      <c r="A21" s="11" t="s">
        <v>21</v>
      </c>
      <c r="B21" s="13"/>
      <c r="C21" s="11" t="s">
        <v>22</v>
      </c>
      <c r="D21" s="13"/>
      <c r="E21" s="11" t="s">
        <v>23</v>
      </c>
      <c r="F21" s="13"/>
      <c r="G21" s="11" t="s">
        <v>24</v>
      </c>
      <c r="H21" s="35"/>
      <c r="I21" s="9" t="s">
        <v>25</v>
      </c>
      <c r="J21" s="10"/>
      <c r="K21" s="11" t="s">
        <v>26</v>
      </c>
      <c r="L21" s="12"/>
      <c r="M21" s="13"/>
    </row>
    <row r="22" spans="1:13" ht="24.75" customHeight="1" thickBot="1" x14ac:dyDescent="0.3">
      <c r="A22" s="14">
        <v>240</v>
      </c>
      <c r="B22" s="15"/>
      <c r="C22" s="16">
        <f>IF(H20&lt;A22,0,H20-A22)</f>
        <v>0</v>
      </c>
      <c r="D22" s="17"/>
      <c r="E22" s="18">
        <v>1</v>
      </c>
      <c r="F22" s="13"/>
      <c r="G22" s="18">
        <v>0.25</v>
      </c>
      <c r="H22" s="13"/>
      <c r="I22" s="3">
        <f>_xlfn.IFS(C22=0,H20*E22,C22&gt;0,H20*E22+C22*G22)</f>
        <v>182.7</v>
      </c>
      <c r="J22" s="5" t="str">
        <f>IF(I22&gt;0,"D","H")</f>
        <v>D</v>
      </c>
      <c r="K22" s="19">
        <v>42603</v>
      </c>
      <c r="L22" s="12"/>
      <c r="M22" s="13"/>
    </row>
  </sheetData>
  <mergeCells count="51">
    <mergeCell ref="B8:F8"/>
    <mergeCell ref="K3:M3"/>
    <mergeCell ref="K4:M4"/>
    <mergeCell ref="H6:M6"/>
    <mergeCell ref="K7:M7"/>
    <mergeCell ref="K8:M8"/>
    <mergeCell ref="A18:C18"/>
    <mergeCell ref="A17:C17"/>
    <mergeCell ref="A16:C16"/>
    <mergeCell ref="D20:G20"/>
    <mergeCell ref="A20:C20"/>
    <mergeCell ref="A19:C19"/>
    <mergeCell ref="D16:G16"/>
    <mergeCell ref="D17:G17"/>
    <mergeCell ref="D18:G18"/>
    <mergeCell ref="D19:G19"/>
    <mergeCell ref="H17:I17"/>
    <mergeCell ref="H18:I18"/>
    <mergeCell ref="H19:I19"/>
    <mergeCell ref="H20:I20"/>
    <mergeCell ref="K16:M16"/>
    <mergeCell ref="K17:M17"/>
    <mergeCell ref="K18:M18"/>
    <mergeCell ref="K20:M20"/>
    <mergeCell ref="K19:M19"/>
    <mergeCell ref="A14:C14"/>
    <mergeCell ref="D14:G14"/>
    <mergeCell ref="K14:M14"/>
    <mergeCell ref="H14:J14"/>
    <mergeCell ref="H16:I16"/>
    <mergeCell ref="A15:C15"/>
    <mergeCell ref="D15:G15"/>
    <mergeCell ref="K15:M15"/>
    <mergeCell ref="H15:I15"/>
    <mergeCell ref="H10:M10"/>
    <mergeCell ref="A13:C13"/>
    <mergeCell ref="D13:G13"/>
    <mergeCell ref="H13:J13"/>
    <mergeCell ref="K13:M13"/>
    <mergeCell ref="H11:M11"/>
    <mergeCell ref="I21:J21"/>
    <mergeCell ref="K21:M21"/>
    <mergeCell ref="A22:B22"/>
    <mergeCell ref="C22:D22"/>
    <mergeCell ref="E22:F22"/>
    <mergeCell ref="G22:H22"/>
    <mergeCell ref="K22:M22"/>
    <mergeCell ref="G21:H21"/>
    <mergeCell ref="A21:B21"/>
    <mergeCell ref="C21:D21"/>
    <mergeCell ref="E21:F2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2026-05-28T11:22:47Z</dcterms:created>
  <dcterms:modified xsi:type="dcterms:W3CDTF">2026-05-29T06:34:09Z</dcterms:modified>
</cp:coreProperties>
</file>